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cig\OneDrive\Desktop\facultad\IA-Colombia\"/>
    </mc:Choice>
  </mc:AlternateContent>
  <xr:revisionPtr revIDLastSave="2" documentId="13_ncr:1_{1BBAD9B2-ADDE-4776-85D3-853C787AA91E}" xr6:coauthVersionLast="36" xr6:coauthVersionMax="47" xr10:uidLastSave="{9FCFCE75-6BD5-4F8A-9DBC-C251BC2B7D00}"/>
  <bookViews>
    <workbookView xWindow="0" yWindow="0" windowWidth="15200" windowHeight="6810" xr2:uid="{00000000-000D-0000-FFFF-FFFF00000000}"/>
  </bookViews>
  <sheets>
    <sheet name="Proyecciones" sheetId="1" r:id="rId1"/>
    <sheet name="Estimaciones" sheetId="2" r:id="rId2"/>
  </sheets>
  <calcPr calcId="191029"/>
</workbook>
</file>

<file path=xl/calcChain.xml><?xml version="1.0" encoding="utf-8"?>
<calcChain xmlns="http://schemas.openxmlformats.org/spreadsheetml/2006/main">
  <c r="AL19" i="1" l="1"/>
  <c r="L16" i="1"/>
  <c r="L15" i="1"/>
  <c r="L14" i="1"/>
  <c r="D2" i="1"/>
  <c r="C2" i="1"/>
  <c r="B2" i="1"/>
  <c r="D3" i="1"/>
  <c r="C3" i="1"/>
  <c r="B3" i="1"/>
  <c r="C9" i="2"/>
  <c r="C5" i="2" s="1"/>
  <c r="C28" i="2"/>
  <c r="C29" i="2" s="1"/>
  <c r="C19" i="2"/>
  <c r="J28" i="2" l="1"/>
  <c r="C50" i="2" l="1"/>
  <c r="C13" i="2"/>
  <c r="B12" i="1" l="1"/>
  <c r="C11" i="1"/>
  <c r="D11" i="1" s="1"/>
  <c r="C54" i="2"/>
  <c r="C53" i="2" l="1"/>
  <c r="C56" i="2"/>
  <c r="D12" i="1"/>
  <c r="E11" i="1"/>
  <c r="C12" i="1"/>
  <c r="N9" i="1"/>
  <c r="O9" i="1" s="1"/>
  <c r="P9" i="1" s="1"/>
  <c r="D40" i="2"/>
  <c r="E40" i="2" s="1"/>
  <c r="D39" i="2"/>
  <c r="E39" i="2" s="1"/>
  <c r="G34" i="2"/>
  <c r="D28" i="2"/>
  <c r="E28" i="2" s="1"/>
  <c r="E29" i="2" s="1"/>
  <c r="D9" i="2"/>
  <c r="E9" i="2" s="1"/>
  <c r="D13" i="2"/>
  <c r="D12" i="2" s="1"/>
  <c r="D8" i="2"/>
  <c r="E8" i="2" s="1"/>
  <c r="D7" i="2"/>
  <c r="D11" i="2"/>
  <c r="E11" i="2" s="1"/>
  <c r="D10" i="2"/>
  <c r="E10" i="2" s="1"/>
  <c r="P12" i="1" l="1"/>
  <c r="P10" i="1"/>
  <c r="N10" i="1"/>
  <c r="N12" i="1"/>
  <c r="E12" i="1"/>
  <c r="F11" i="1"/>
  <c r="Q9" i="1"/>
  <c r="O12" i="1"/>
  <c r="O10" i="1"/>
  <c r="E7" i="2"/>
  <c r="D5" i="2"/>
  <c r="C30" i="2"/>
  <c r="B10" i="1"/>
  <c r="D29" i="2"/>
  <c r="D30" i="2" s="1"/>
  <c r="D37" i="2" s="1"/>
  <c r="E13" i="2"/>
  <c r="N13" i="1" l="1"/>
  <c r="P13" i="1"/>
  <c r="O13" i="1"/>
  <c r="Q12" i="1"/>
  <c r="Q10" i="1"/>
  <c r="R9" i="1"/>
  <c r="G11" i="1"/>
  <c r="F12" i="1"/>
  <c r="I10" i="1"/>
  <c r="K10" i="1"/>
  <c r="H10" i="1"/>
  <c r="J10" i="1"/>
  <c r="L10" i="1"/>
  <c r="B13" i="1"/>
  <c r="D10" i="1"/>
  <c r="D13" i="1" s="1"/>
  <c r="C10" i="1"/>
  <c r="C13" i="1" s="1"/>
  <c r="E10" i="1"/>
  <c r="E13" i="1" s="1"/>
  <c r="F10" i="1"/>
  <c r="M10" i="1"/>
  <c r="G10" i="1"/>
  <c r="C37" i="2"/>
  <c r="C38" i="2" s="1"/>
  <c r="E12" i="2"/>
  <c r="E5" i="2" s="1"/>
  <c r="E30" i="2" s="1"/>
  <c r="E37" i="2" s="1"/>
  <c r="H15" i="1" l="1"/>
  <c r="C49" i="2" s="1"/>
  <c r="C52" i="2" s="1"/>
  <c r="F13" i="1"/>
  <c r="H11" i="1"/>
  <c r="G12" i="1"/>
  <c r="G13" i="1" s="1"/>
  <c r="R12" i="1"/>
  <c r="R10" i="1"/>
  <c r="S9" i="1"/>
  <c r="Q13" i="1"/>
  <c r="C42" i="2"/>
  <c r="C43" i="2" s="1"/>
  <c r="D38" i="2"/>
  <c r="H12" i="1" l="1"/>
  <c r="H13" i="1" s="1"/>
  <c r="I11" i="1"/>
  <c r="S10" i="1"/>
  <c r="S12" i="1"/>
  <c r="S13" i="1" s="1"/>
  <c r="T9" i="1"/>
  <c r="R13" i="1"/>
  <c r="E38" i="2"/>
  <c r="E42" i="2" s="1"/>
  <c r="E43" i="2" s="1"/>
  <c r="D42" i="2"/>
  <c r="D43" i="2" s="1"/>
  <c r="T12" i="1" l="1"/>
  <c r="T10" i="1"/>
  <c r="U9" i="1"/>
  <c r="I12" i="1"/>
  <c r="I13" i="1" s="1"/>
  <c r="J11" i="1"/>
  <c r="T13" i="1" l="1"/>
  <c r="J12" i="1"/>
  <c r="J13" i="1" s="1"/>
  <c r="K11" i="1"/>
  <c r="U10" i="1"/>
  <c r="U12" i="1"/>
  <c r="V9" i="1"/>
  <c r="U13" i="1" l="1"/>
  <c r="V10" i="1"/>
  <c r="V12" i="1"/>
  <c r="W9" i="1"/>
  <c r="L11" i="1"/>
  <c r="K12" i="1"/>
  <c r="K13" i="1" s="1"/>
  <c r="V13" i="1" l="1"/>
  <c r="M11" i="1"/>
  <c r="M12" i="1" s="1"/>
  <c r="M13" i="1" s="1"/>
  <c r="L12" i="1"/>
  <c r="L13" i="1" s="1"/>
  <c r="W12" i="1"/>
  <c r="W10" i="1"/>
  <c r="X9" i="1"/>
  <c r="M14" i="1" l="1"/>
  <c r="X12" i="1"/>
  <c r="X10" i="1"/>
  <c r="Y9" i="1"/>
  <c r="W13" i="1"/>
  <c r="X13" i="1" l="1"/>
  <c r="M15" i="1"/>
  <c r="M16" i="1"/>
  <c r="Y12" i="1"/>
  <c r="Y10" i="1"/>
  <c r="Z9" i="1"/>
  <c r="M17" i="1" l="1"/>
  <c r="M18" i="1" s="1"/>
  <c r="M19" i="1" s="1"/>
  <c r="Y13" i="1"/>
  <c r="AA9" i="1"/>
  <c r="Z12" i="1"/>
  <c r="Z10" i="1"/>
  <c r="Y14" i="1" l="1"/>
  <c r="AA12" i="1"/>
  <c r="AA10" i="1"/>
  <c r="AB9" i="1"/>
  <c r="Z13" i="1"/>
  <c r="Y16" i="1" l="1"/>
  <c r="Y15" i="1"/>
  <c r="AA13" i="1"/>
  <c r="AB10" i="1"/>
  <c r="AB12" i="1"/>
  <c r="AC9" i="1"/>
  <c r="Y17" i="1" l="1"/>
  <c r="Y18" i="1" s="1"/>
  <c r="AC10" i="1"/>
  <c r="AC12" i="1"/>
  <c r="AD9" i="1"/>
  <c r="AB13" i="1"/>
  <c r="AC13" i="1" l="1"/>
  <c r="Y19" i="1"/>
  <c r="AD10" i="1"/>
  <c r="AD12" i="1"/>
  <c r="AE9" i="1"/>
  <c r="AD13" i="1" l="1"/>
  <c r="AE12" i="1"/>
  <c r="AE10" i="1"/>
  <c r="AF9" i="1"/>
  <c r="AE13" i="1" l="1"/>
  <c r="AF12" i="1"/>
  <c r="AF10" i="1"/>
  <c r="AG9" i="1"/>
  <c r="AF13" i="1" l="1"/>
  <c r="AG12" i="1"/>
  <c r="AG10" i="1"/>
  <c r="AH9" i="1"/>
  <c r="AG13" i="1" l="1"/>
  <c r="AH12" i="1"/>
  <c r="AH10" i="1"/>
  <c r="AI9" i="1"/>
  <c r="AI12" i="1" l="1"/>
  <c r="AI10" i="1"/>
  <c r="AJ9" i="1"/>
  <c r="AH13" i="1"/>
  <c r="AI13" i="1" l="1"/>
  <c r="AJ12" i="1"/>
  <c r="AJ10" i="1"/>
  <c r="AK9" i="1"/>
  <c r="AK12" i="1" l="1"/>
  <c r="AK10" i="1"/>
  <c r="AJ13" i="1"/>
  <c r="AK13" i="1" l="1"/>
  <c r="AK14" i="1" l="1"/>
  <c r="AK16" i="1" s="1"/>
  <c r="C57" i="2"/>
  <c r="C58" i="2" s="1"/>
  <c r="AK15" i="1" l="1"/>
  <c r="AK17" i="1" s="1"/>
  <c r="AK18" i="1" s="1"/>
  <c r="AK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Cecilia Elizabeth Gallardo</author>
  </authors>
  <commentList>
    <comment ref="C7" authorId="0" shapeId="0" xr:uid="{2CC39DE4-395F-45A4-9652-6752DE0574A0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https://keepcoding.io/blog/salario-big-data-analyst-en-colombia/
</t>
        </r>
      </text>
    </comment>
    <comment ref="C8" authorId="0" shapeId="0" xr:uid="{E7277651-663C-486D-B4E8-355DCEEE71C7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https://co.indeed.com/career/programador-front-end/salaries?from=top_sb
</t>
        </r>
      </text>
    </comment>
    <comment ref="B10" authorId="0" shapeId="0" xr:uid="{1A43705B-421C-4662-8C0A-DA9909966FBC}">
      <text>
        <r>
          <rPr>
            <b/>
            <sz val="9"/>
            <color indexed="81"/>
            <rFont val="Tahoma"/>
            <family val="2"/>
          </rPr>
          <t>Cecilia Elizabeth Gallardo:Fuente: cloudflare.com/plans</t>
        </r>
      </text>
    </comment>
    <comment ref="B11" authorId="0" shapeId="0" xr:uid="{7B2ECEBF-1B9E-4ADB-A418-F2FE26493C7E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Namecheap/GoDaddy
</t>
        </r>
      </text>
    </comment>
    <comment ref="B16" authorId="0" shapeId="0" xr:uid="{03E406E8-E5AD-4FF9-AC34-06641924DBB8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https://hacecuentas.com/calculadora-costo-cloud-servidor-mensual</t>
        </r>
      </text>
    </comment>
    <comment ref="B17" authorId="0" shapeId="0" xr:uid="{24781A5A-D38B-4A50-9B02-EA5F2FCB6F84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cloud.google.com/storage
</t>
        </r>
      </text>
    </comment>
    <comment ref="B18" authorId="0" shapeId="0" xr:uid="{BB4368A5-B6E2-446A-9600-72E2E72FDF9F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cloud.google.com/sql</t>
        </r>
      </text>
    </comment>
    <comment ref="C19" authorId="0" shapeId="0" xr:uid="{AB4E5814-7EBF-4517-AB00-803F88AB5AC0}">
      <text>
        <r>
          <rPr>
            <b/>
            <sz val="9"/>
            <color indexed="81"/>
            <rFont val="Tahoma"/>
            <charset val="1"/>
          </rPr>
          <t>Cecilia Elizabeth Gallardo:</t>
        </r>
        <r>
          <rPr>
            <sz val="9"/>
            <color indexed="81"/>
            <rFont val="Tahoma"/>
            <charset val="1"/>
          </rPr>
          <t xml:space="preserve">
suponemos que van 500 pacientes por mes a la clinica</t>
        </r>
      </text>
    </comment>
    <comment ref="I22" authorId="0" shapeId="0" xr:uid="{1A598BE1-C3CD-4C1B-A1A9-3270091B9DCD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cloud.google.com/storage
</t>
        </r>
      </text>
    </comment>
    <comment ref="B23" authorId="0" shapeId="0" xr:uid="{351DB1C1-D9ED-45CD-8E53-F7009F31BA68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cloud.google.com/monitoring
</t>
        </r>
      </text>
    </comment>
    <comment ref="B24" authorId="0" shapeId="0" xr:uid="{FF125C62-FD67-4A45-B028-D428E5F0915E}">
      <text>
        <r>
          <rPr>
            <b/>
            <sz val="9"/>
            <color indexed="81"/>
            <rFont val="Tahoma"/>
            <charset val="1"/>
          </rPr>
          <t>Cecilia Elizabeth Gallardo:</t>
        </r>
        <r>
          <rPr>
            <sz val="9"/>
            <color indexed="81"/>
            <rFont val="Tahoma"/>
            <charset val="1"/>
          </rPr>
          <t xml:space="preserve">
Fuente: https://github.com/pricing</t>
        </r>
      </text>
    </comment>
    <comment ref="C24" authorId="0" shapeId="0" xr:uid="{D948CCEA-8B6E-4C74-9542-59DF69723B26}">
      <text>
        <r>
          <rPr>
            <b/>
            <sz val="9"/>
            <color indexed="81"/>
            <rFont val="Tahoma"/>
            <charset val="1"/>
          </rPr>
          <t>Cecilia Elizabeth Gallardo:</t>
        </r>
        <r>
          <rPr>
            <sz val="9"/>
            <color indexed="81"/>
            <rFont val="Tahoma"/>
            <charset val="1"/>
          </rPr>
          <t xml:space="preserve">
plan: Equipo</t>
        </r>
      </text>
    </comment>
    <comment ref="I25" authorId="0" shapeId="0" xr:uid="{5F504B8C-615E-4A95-B0F1-48719F72E96A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Fuente: cloud.google.com/sql</t>
        </r>
      </text>
    </comment>
    <comment ref="J28" authorId="0" shapeId="0" xr:uid="{C5199D18-8F09-412F-8EA9-77795A19A871}">
      <text>
        <r>
          <rPr>
            <b/>
            <sz val="9"/>
            <color indexed="81"/>
            <rFont val="Tahoma"/>
            <charset val="1"/>
          </rPr>
          <t>Cecilia Elizabeth Gallardo:</t>
        </r>
        <r>
          <rPr>
            <sz val="9"/>
            <color indexed="81"/>
            <rFont val="Tahoma"/>
            <charset val="1"/>
          </rPr>
          <t xml:space="preserve">
suponemos que van 500 pacientes por mes a la clinica</t>
        </r>
      </text>
    </comment>
    <comment ref="E50" authorId="0" shapeId="0" xr:uid="{05052652-4F47-44EE-AFEF-6EFC1B255CCF}">
      <text>
        <r>
          <rPr>
            <b/>
            <sz val="9"/>
            <color indexed="81"/>
            <rFont val="Tahoma"/>
            <family val="2"/>
          </rPr>
          <t xml:space="preserve">Cecilia Elizabeth Gallardo: 
Fuente: https://www.camtomx.com/en/blog/registro-sanitario-invima-colombia-guia
</t>
        </r>
      </text>
    </comment>
    <comment ref="F56" authorId="0" shapeId="0" xr:uid="{459D5416-3ED3-4F34-A04B-55501819D39C}">
      <text>
        <r>
          <rPr>
            <b/>
            <sz val="9"/>
            <color indexed="81"/>
            <rFont val="Tahoma"/>
            <family val="2"/>
          </rPr>
          <t>Cecilia Elizabeth Gallardo:</t>
        </r>
        <r>
          <rPr>
            <sz val="9"/>
            <color indexed="81"/>
            <rFont val="Tahoma"/>
            <family val="2"/>
          </rPr>
          <t xml:space="preserve">
registro + honorarios</t>
        </r>
      </text>
    </comment>
  </commentList>
</comments>
</file>

<file path=xl/sharedStrings.xml><?xml version="1.0" encoding="utf-8"?>
<sst xmlns="http://schemas.openxmlformats.org/spreadsheetml/2006/main" count="147" uniqueCount="96">
  <si>
    <t>Año 1</t>
  </si>
  <si>
    <t>Año 2</t>
  </si>
  <si>
    <t>Año 3</t>
  </si>
  <si>
    <t>Costos fijos mensuales</t>
  </si>
  <si>
    <t>Costo variable por institución/mes</t>
  </si>
  <si>
    <t>Margen de utilidad</t>
  </si>
  <si>
    <t>30%</t>
  </si>
  <si>
    <t>Proyecciones mensuales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</si>
  <si>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</si>
  <si>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</si>
  <si>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</si>
  <si>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</si>
  <si>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</si>
  <si>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</si>
  <si>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</si>
  <si>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</si>
  <si>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</si>
  <si>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</si>
  <si>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</si>
  <si>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</si>
  <si>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No. de instituciones</t>
  </si>
  <si>
    <t>Costos totales</t>
  </si>
  <si>
    <t>Precio de venta</t>
  </si>
  <si>
    <t>Ingresos totales</t>
  </si>
  <si>
    <t>Utilidad operativa (EBITDA)</t>
  </si>
  <si>
    <t>(-) Depreciaciones y amortizaciones (5% ingresos)</t>
  </si>
  <si>
    <t>(-) Intereses / gastos financieros (3% costos)</t>
  </si>
  <si>
    <t>Utilidad antes de impuestos (EBT)</t>
  </si>
  <si>
    <t>(-) Impuestos (Renta 35%)</t>
  </si>
  <si>
    <t>Utilidad neta</t>
  </si>
  <si>
    <t>Detalle de Costos</t>
  </si>
  <si>
    <t xml:space="preserve"> Año 1 </t>
  </si>
  <si>
    <t xml:space="preserve"> Año 2 </t>
  </si>
  <si>
    <t xml:space="preserve"> Año 3 </t>
  </si>
  <si>
    <t>Descripción</t>
  </si>
  <si>
    <t>Subtotal Costos fijos mensuales</t>
  </si>
  <si>
    <t>Aumento del 8% del SMMLV</t>
  </si>
  <si>
    <t>Costo variable por institución (mes)</t>
  </si>
  <si>
    <t>Estimación del precio de venta y utilidades</t>
  </si>
  <si>
    <t>Observación</t>
  </si>
  <si>
    <t>No. instituciones promedio mensual</t>
  </si>
  <si>
    <t>Costo promedio por institución/mes</t>
  </si>
  <si>
    <t>Precio con margen de utilidad (30%)</t>
  </si>
  <si>
    <t>Alternativas de precio:</t>
  </si>
  <si>
    <t>Según competencia (referencia mercado)</t>
  </si>
  <si>
    <t>Ingresos mensuales promedio</t>
  </si>
  <si>
    <t>Utilidad operacional promedio mensual</t>
  </si>
  <si>
    <t>Valoración de la empresa</t>
  </si>
  <si>
    <t>Valoración pre-money</t>
  </si>
  <si>
    <t>Inversión inicial (op. inicial + creación empresa)</t>
  </si>
  <si>
    <t>Operación inicial</t>
  </si>
  <si>
    <t>Creación de la empresa</t>
  </si>
  <si>
    <t>Deuda financiera (Pasivo) / préstamo</t>
  </si>
  <si>
    <t>Patrimonio (Equity) / aportes propios</t>
  </si>
  <si>
    <t>Aportes propios (idea + código + IP)</t>
  </si>
  <si>
    <t>Aportes en efectivo de socios</t>
  </si>
  <si>
    <t>Valoración post-money</t>
  </si>
  <si>
    <t>Valoración en 3 años</t>
  </si>
  <si>
    <t>Valorización de la inversión de socios</t>
  </si>
  <si>
    <t>Desarrollador IA</t>
  </si>
  <si>
    <t>Desarrollador front-end</t>
  </si>
  <si>
    <t>suscripciones, contabilidad,licencias</t>
  </si>
  <si>
    <t xml:space="preserve">Gastos de administracion </t>
  </si>
  <si>
    <t>Base de datos Cloud SQL</t>
  </si>
  <si>
    <t>CDN + Seguridad Web</t>
  </si>
  <si>
    <t>Dominio web (.com)</t>
  </si>
  <si>
    <t>Monitoreo, logs y alertas (GCP Monitoring)</t>
  </si>
  <si>
    <t>Herramientas (Github)</t>
  </si>
  <si>
    <t>Almacenamiento imágenes (GCS Standard)</t>
  </si>
  <si>
    <t>Backups automáticos BD </t>
  </si>
  <si>
    <t>Registro INVIMA</t>
  </si>
  <si>
    <t>Gastos de venta</t>
  </si>
  <si>
    <t>CAC</t>
  </si>
  <si>
    <t>aumento 5% ipc</t>
  </si>
  <si>
    <t xml:space="preserve">Subtotal Costos variables </t>
  </si>
  <si>
    <t>Subtotal Costos mensuales</t>
  </si>
  <si>
    <t xml:space="preserve">se estima 500 pacientes por mes, cada uno consume 50gb aprox </t>
  </si>
  <si>
    <t xml:space="preserve">25GB al mes </t>
  </si>
  <si>
    <t>84,42 x gb</t>
  </si>
  <si>
    <t>13,21 x gb</t>
  </si>
  <si>
    <t xml:space="preserve">Por percepción </t>
  </si>
  <si>
    <t>aumento 5% por ipc</t>
  </si>
  <si>
    <t>Asesor medico reumatologo</t>
  </si>
  <si>
    <t>Auditoría ciberseguridad </t>
  </si>
  <si>
    <t xml:space="preserve">Gastos unicos </t>
  </si>
  <si>
    <t>Punto de equilibrio:</t>
  </si>
  <si>
    <t>Ingresos totales:</t>
  </si>
  <si>
    <t xml:space="preserve">Costos totales: </t>
  </si>
  <si>
    <t>Utilidad Neta</t>
  </si>
  <si>
    <t>(-) Depreciaciones y amortizaciones 
2 al 5%</t>
  </si>
  <si>
    <t>(-) Intereses (Gastos financieros) 
0 al 3%</t>
  </si>
  <si>
    <t>25 GB x institucion al mes:</t>
  </si>
  <si>
    <t>Inferencia GPU</t>
  </si>
  <si>
    <t>x cada paciente se cobra $36,84</t>
  </si>
  <si>
    <t>Gastos de administracion</t>
  </si>
  <si>
    <t>Subtotal Costos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</si>
</sst>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8" formatCode="_-&quot;$&quot;* #,##0_-;\-&quot;$&quot;* #,##0_-;_-&quot;$&quot;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3" tint="0.59999389629810485"/>
      </right>
      <top style="thin">
        <color indexed="64"/>
      </top>
      <bottom/>
      <diagonal/>
    </border>
    <border>
      <left/>
      <right style="medium">
        <color theme="3" tint="0.59999389629810485"/>
      </right>
      <top/>
      <bottom/>
      <diagonal/>
    </border>
    <border>
      <left style="medium">
        <color theme="3" tint="0.59999389629810485"/>
      </left>
      <right/>
      <top style="medium">
        <color theme="3" tint="0.59999389629810485"/>
      </top>
      <bottom/>
      <diagonal/>
    </border>
    <border>
      <left/>
      <right style="medium">
        <color theme="3" tint="0.59999389629810485"/>
      </right>
      <top style="medium">
        <color theme="3" tint="0.59999389629810485"/>
      </top>
      <bottom/>
      <diagonal/>
    </border>
    <border>
      <left style="medium">
        <color theme="3" tint="0.59999389629810485"/>
      </left>
      <right/>
      <top/>
      <bottom/>
      <diagonal/>
    </border>
    <border>
      <left style="medium">
        <color theme="3" tint="0.59999389629810485"/>
      </left>
      <right/>
      <top/>
      <bottom style="medium">
        <color theme="3" tint="0.59999389629810485"/>
      </bottom>
      <diagonal/>
    </border>
    <border>
      <left/>
      <right style="medium">
        <color theme="3" tint="0.59999389629810485"/>
      </right>
      <top/>
      <bottom style="medium">
        <color theme="3" tint="0.59999389629810485"/>
      </bottom>
      <diagonal/>
    </border>
    <border>
      <left style="medium">
        <color theme="3" tint="0.59999389629810485"/>
      </left>
      <right style="medium">
        <color theme="3" tint="0.59999389629810485"/>
      </right>
      <top/>
      <bottom style="medium">
        <color theme="3" tint="0.59999389629810485"/>
      </bottom>
      <diagonal/>
    </border>
    <border>
      <left style="medium">
        <color theme="3" tint="0.59999389629810485"/>
      </left>
      <right style="medium">
        <color theme="3" tint="0.59999389629810485"/>
      </right>
      <top style="thin">
        <color indexed="64"/>
      </top>
      <bottom/>
      <diagonal/>
    </border>
    <border>
      <left style="medium">
        <color theme="3" tint="0.59999389629810485"/>
      </left>
      <right style="medium">
        <color theme="8"/>
      </right>
      <top/>
      <bottom/>
      <diagonal/>
    </border>
    <border>
      <left style="medium">
        <color theme="3" tint="0.59999389629810485"/>
      </left>
      <right style="medium">
        <color theme="3" tint="0.59999389629810485"/>
      </right>
      <top style="medium">
        <color theme="3" tint="0.5999938962981048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4" fontId="0" fillId="0" borderId="0" xfId="0" applyNumberFormat="1"/>
    <xf numFmtId="44" fontId="0" fillId="0" borderId="0" xfId="1" applyFont="1"/>
    <xf numFmtId="164" fontId="0" fillId="0" borderId="0" xfId="0" applyNumberFormat="1"/>
    <xf numFmtId="0" fontId="0" fillId="0" borderId="1" xfId="0" applyBorder="1"/>
    <xf numFmtId="3" fontId="0" fillId="0" borderId="0" xfId="0" applyNumberFormat="1"/>
    <xf numFmtId="0" fontId="0" fillId="0" borderId="2" xfId="0" applyBorder="1"/>
    <xf numFmtId="44" fontId="0" fillId="0" borderId="3" xfId="0" applyNumberFormat="1" applyBorder="1"/>
    <xf numFmtId="44" fontId="0" fillId="0" borderId="4" xfId="0" applyNumberFormat="1" applyBorder="1"/>
    <xf numFmtId="0" fontId="4" fillId="5" borderId="0" xfId="0" applyFont="1" applyFill="1"/>
    <xf numFmtId="0" fontId="4" fillId="0" borderId="0" xfId="0" applyFont="1"/>
    <xf numFmtId="0" fontId="0" fillId="0" borderId="5" xfId="0" applyBorder="1"/>
    <xf numFmtId="44" fontId="0" fillId="0" borderId="5" xfId="0" applyNumberFormat="1" applyBorder="1"/>
    <xf numFmtId="0" fontId="0" fillId="6" borderId="0" xfId="0" applyFill="1"/>
    <xf numFmtId="9" fontId="0" fillId="0" borderId="0" xfId="0" applyNumberFormat="1"/>
    <xf numFmtId="0" fontId="0" fillId="7" borderId="0" xfId="0" applyFill="1"/>
    <xf numFmtId="44" fontId="0" fillId="7" borderId="5" xfId="0" applyNumberFormat="1" applyFill="1" applyBorder="1"/>
    <xf numFmtId="0" fontId="5" fillId="0" borderId="6" xfId="0" applyFont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Border="1"/>
    <xf numFmtId="44" fontId="0" fillId="0" borderId="0" xfId="0" applyNumberFormat="1" applyBorder="1"/>
    <xf numFmtId="0" fontId="0" fillId="8" borderId="0" xfId="0" applyFill="1"/>
    <xf numFmtId="0" fontId="0" fillId="8" borderId="7" xfId="0" applyFill="1" applyBorder="1"/>
    <xf numFmtId="44" fontId="0" fillId="8" borderId="0" xfId="0" applyNumberFormat="1" applyFill="1" applyBorder="1"/>
    <xf numFmtId="44" fontId="0" fillId="8" borderId="0" xfId="0" applyNumberFormat="1" applyFill="1"/>
    <xf numFmtId="0" fontId="0" fillId="9" borderId="0" xfId="0" applyFill="1"/>
    <xf numFmtId="0" fontId="0" fillId="9" borderId="8" xfId="0" applyFill="1" applyBorder="1"/>
    <xf numFmtId="44" fontId="0" fillId="9" borderId="3" xfId="0" applyNumberFormat="1" applyFill="1" applyBorder="1"/>
    <xf numFmtId="44" fontId="0" fillId="9" borderId="0" xfId="0" applyNumberFormat="1" applyFill="1"/>
    <xf numFmtId="44" fontId="0" fillId="0" borderId="5" xfId="0" applyNumberFormat="1" applyFill="1" applyBorder="1"/>
    <xf numFmtId="0" fontId="0" fillId="0" borderId="0" xfId="0" applyFill="1"/>
    <xf numFmtId="0" fontId="5" fillId="0" borderId="0" xfId="0" applyFont="1" applyBorder="1" applyAlignment="1">
      <alignment horizontal="center" vertical="center" wrapText="1"/>
    </xf>
    <xf numFmtId="0" fontId="0" fillId="0" borderId="9" xfId="0" applyBorder="1"/>
    <xf numFmtId="0" fontId="5" fillId="0" borderId="10" xfId="0" applyFont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44" fontId="0" fillId="10" borderId="11" xfId="0" applyNumberFormat="1" applyFill="1" applyBorder="1"/>
    <xf numFmtId="44" fontId="0" fillId="10" borderId="13" xfId="0" applyNumberFormat="1" applyFill="1" applyBorder="1"/>
    <xf numFmtId="44" fontId="0" fillId="10" borderId="0" xfId="0" applyNumberFormat="1" applyFill="1" applyBorder="1"/>
    <xf numFmtId="168" fontId="8" fillId="0" borderId="0" xfId="0" applyNumberFormat="1" applyFont="1" applyAlignment="1">
      <alignment horizontal="center" vertical="center"/>
    </xf>
    <xf numFmtId="44" fontId="8" fillId="7" borderId="0" xfId="1" applyNumberFormat="1" applyFont="1" applyFill="1" applyAlignment="1">
      <alignment horizontal="center" vertical="center"/>
    </xf>
    <xf numFmtId="168" fontId="8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5" fillId="0" borderId="16" xfId="0" applyFont="1" applyBorder="1" applyAlignment="1">
      <alignment horizontal="center" vertical="center" wrapText="1"/>
    </xf>
    <xf numFmtId="0" fontId="0" fillId="0" borderId="17" xfId="0" applyBorder="1"/>
    <xf numFmtId="0" fontId="5" fillId="0" borderId="18" xfId="0" applyFont="1" applyBorder="1" applyAlignment="1">
      <alignment horizontal="center" vertical="center" wrapText="1"/>
    </xf>
    <xf numFmtId="0" fontId="0" fillId="0" borderId="19" xfId="0" applyBorder="1"/>
    <xf numFmtId="44" fontId="0" fillId="10" borderId="9" xfId="0" applyNumberFormat="1" applyFill="1" applyBorder="1"/>
    <xf numFmtId="44" fontId="0" fillId="10" borderId="10" xfId="0" applyNumberFormat="1" applyFill="1" applyBorder="1"/>
    <xf numFmtId="44" fontId="0" fillId="10" borderId="15" xfId="0" applyNumberFormat="1" applyFill="1" applyBorder="1"/>
    <xf numFmtId="44" fontId="0" fillId="10" borderId="1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Proyección de costos e ingresos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Costos totales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Proyecciones!$B$9:$AK$9</c:f>
              <c:numCache>
                <c:formatCode>General</c:formatCode>
                <c:ptCount val="3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29</c:v>
                </c:pt>
                <c:pt idx="13">
                  <c:v>34</c:v>
                </c:pt>
                <c:pt idx="14">
                  <c:v>39</c:v>
                </c:pt>
                <c:pt idx="15">
                  <c:v>44</c:v>
                </c:pt>
                <c:pt idx="16">
                  <c:v>49</c:v>
                </c:pt>
                <c:pt idx="17">
                  <c:v>54</c:v>
                </c:pt>
                <c:pt idx="18">
                  <c:v>59</c:v>
                </c:pt>
                <c:pt idx="19">
                  <c:v>64</c:v>
                </c:pt>
                <c:pt idx="20">
                  <c:v>69</c:v>
                </c:pt>
                <c:pt idx="21">
                  <c:v>74</c:v>
                </c:pt>
                <c:pt idx="22">
                  <c:v>79</c:v>
                </c:pt>
                <c:pt idx="23">
                  <c:v>84</c:v>
                </c:pt>
                <c:pt idx="24">
                  <c:v>93</c:v>
                </c:pt>
                <c:pt idx="25">
                  <c:v>102</c:v>
                </c:pt>
                <c:pt idx="26">
                  <c:v>111</c:v>
                </c:pt>
                <c:pt idx="27">
                  <c:v>120</c:v>
                </c:pt>
                <c:pt idx="28">
                  <c:v>129</c:v>
                </c:pt>
                <c:pt idx="29">
                  <c:v>138</c:v>
                </c:pt>
                <c:pt idx="30">
                  <c:v>147</c:v>
                </c:pt>
                <c:pt idx="31">
                  <c:v>156</c:v>
                </c:pt>
                <c:pt idx="32">
                  <c:v>165</c:v>
                </c:pt>
                <c:pt idx="33">
                  <c:v>174</c:v>
                </c:pt>
                <c:pt idx="34">
                  <c:v>183</c:v>
                </c:pt>
                <c:pt idx="35">
                  <c:v>192</c:v>
                </c:pt>
              </c:numCache>
            </c:numRef>
          </c:xVal>
          <c:yVal>
            <c:numRef>
              <c:f>Proyecciones!$B$10:$AK$10</c:f>
              <c:numCache>
                <c:formatCode>_("$"* #,##0.00_);_("$"* \(#,##0.00\);_("$"* "-"??_);_(@_)</c:formatCode>
                <c:ptCount val="36"/>
                <c:pt idx="0">
                  <c:v>12255855.920000002</c:v>
                </c:pt>
                <c:pt idx="1">
                  <c:v>12666026.720000001</c:v>
                </c:pt>
                <c:pt idx="2">
                  <c:v>13076197.520000001</c:v>
                </c:pt>
                <c:pt idx="3">
                  <c:v>13486368.32</c:v>
                </c:pt>
                <c:pt idx="4">
                  <c:v>13896539.120000001</c:v>
                </c:pt>
                <c:pt idx="5">
                  <c:v>14306709.920000002</c:v>
                </c:pt>
                <c:pt idx="6">
                  <c:v>14716880.720000001</c:v>
                </c:pt>
                <c:pt idx="7">
                  <c:v>15127051.520000001</c:v>
                </c:pt>
                <c:pt idx="8">
                  <c:v>15537222.32</c:v>
                </c:pt>
                <c:pt idx="9">
                  <c:v>15947393.120000001</c:v>
                </c:pt>
                <c:pt idx="10">
                  <c:v>16357563.920000002</c:v>
                </c:pt>
                <c:pt idx="11">
                  <c:v>16767734.720000001</c:v>
                </c:pt>
                <c:pt idx="12">
                  <c:v>22588746.085000001</c:v>
                </c:pt>
                <c:pt idx="13">
                  <c:v>23665444.435000002</c:v>
                </c:pt>
                <c:pt idx="14">
                  <c:v>24742142.785000004</c:v>
                </c:pt>
                <c:pt idx="15">
                  <c:v>25818841.135000002</c:v>
                </c:pt>
                <c:pt idx="16">
                  <c:v>26895539.484999999</c:v>
                </c:pt>
                <c:pt idx="17">
                  <c:v>27972237.835000001</c:v>
                </c:pt>
                <c:pt idx="18">
                  <c:v>29048936.185000002</c:v>
                </c:pt>
                <c:pt idx="19">
                  <c:v>30125634.535000004</c:v>
                </c:pt>
                <c:pt idx="20">
                  <c:v>31202332.885000002</c:v>
                </c:pt>
                <c:pt idx="21">
                  <c:v>32279031.234999999</c:v>
                </c:pt>
                <c:pt idx="22">
                  <c:v>33355729.585000001</c:v>
                </c:pt>
                <c:pt idx="23">
                  <c:v>34432427.935000002</c:v>
                </c:pt>
                <c:pt idx="24">
                  <c:v>43626476.626599997</c:v>
                </c:pt>
                <c:pt idx="25">
                  <c:v>45661436.508100003</c:v>
                </c:pt>
                <c:pt idx="26">
                  <c:v>47696396.389600009</c:v>
                </c:pt>
                <c:pt idx="27">
                  <c:v>49731356.2711</c:v>
                </c:pt>
                <c:pt idx="28">
                  <c:v>51766316.152600005</c:v>
                </c:pt>
                <c:pt idx="29">
                  <c:v>53801276.034100004</c:v>
                </c:pt>
                <c:pt idx="30">
                  <c:v>55836235.915600002</c:v>
                </c:pt>
                <c:pt idx="31">
                  <c:v>57871195.797100008</c:v>
                </c:pt>
                <c:pt idx="32">
                  <c:v>59906155.678599998</c:v>
                </c:pt>
                <c:pt idx="33">
                  <c:v>61941115.560100004</c:v>
                </c:pt>
                <c:pt idx="34">
                  <c:v>63976075.44160001</c:v>
                </c:pt>
                <c:pt idx="35">
                  <c:v>66011035.323100001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5-412B-811A-784A73BFE266}"/>
            </c:ext>
          </c:extLst>
        </c:ser>
        <c:ser>
          <c:idx val="1"/>
          <c:order val="1"/>
          <c:tx>
            <c:v>Ingresos totales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A2-4D0E-AF27-848A70AFEF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A2-4D0E-AF27-848A70AFEF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A2-4D0E-AF27-848A70AFEF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A2-4D0E-AF27-848A70AFEF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A2-4D0E-AF27-848A70AFEF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A2-4D0E-AF27-848A70AFEF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A2-4D0E-AF27-848A70AFEF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A2-4D0E-AF27-848A70AFEF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A2-4D0E-AF27-848A70AFEF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A2-4D0E-AF27-848A70AFEF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A2-4D0E-AF27-848A70AFEF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A2-4D0E-AF27-848A70AFEF2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A2-4D0E-AF27-848A70AFEF2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A2-4D0E-AF27-848A70AFEF2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A2-4D0E-AF27-848A70AFEF2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A2-4D0E-AF27-848A70AFEF2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A2-4D0E-AF27-848A70AFEF2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A2-4D0E-AF27-848A70AFEF2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A2-4D0E-AF27-848A70AFEF2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8A2-4D0E-AF27-848A70AFEF2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A2-4D0E-AF27-848A70AFEF2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A2-4D0E-AF27-848A70AFEF2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A2-4D0E-AF27-848A70AFEF2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A2-4D0E-AF27-848A70AFEF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A2-4D0E-AF27-848A70AFEF2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8A2-4D0E-AF27-848A70AFEF2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8A2-4D0E-AF27-848A70AFEF2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8A2-4D0E-AF27-848A70AFEF2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8A2-4D0E-AF27-848A70AFEF2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8A2-4D0E-AF27-848A70AFEF2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8A2-4D0E-AF27-848A70AFEF2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8A2-4D0E-AF27-848A70AFEF2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8A2-4D0E-AF27-848A70AFEF2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8A2-4D0E-AF27-848A70AFEF2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8A2-4D0E-AF27-848A70AFEF2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8A2-4D0E-AF27-848A70AFE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Proyecciones!$B$9:$AK$9</c:f>
              <c:numCache>
                <c:formatCode>General</c:formatCode>
                <c:ptCount val="3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29</c:v>
                </c:pt>
                <c:pt idx="13">
                  <c:v>34</c:v>
                </c:pt>
                <c:pt idx="14">
                  <c:v>39</c:v>
                </c:pt>
                <c:pt idx="15">
                  <c:v>44</c:v>
                </c:pt>
                <c:pt idx="16">
                  <c:v>49</c:v>
                </c:pt>
                <c:pt idx="17">
                  <c:v>54</c:v>
                </c:pt>
                <c:pt idx="18">
                  <c:v>59</c:v>
                </c:pt>
                <c:pt idx="19">
                  <c:v>64</c:v>
                </c:pt>
                <c:pt idx="20">
                  <c:v>69</c:v>
                </c:pt>
                <c:pt idx="21">
                  <c:v>74</c:v>
                </c:pt>
                <c:pt idx="22">
                  <c:v>79</c:v>
                </c:pt>
                <c:pt idx="23">
                  <c:v>84</c:v>
                </c:pt>
                <c:pt idx="24">
                  <c:v>93</c:v>
                </c:pt>
                <c:pt idx="25">
                  <c:v>102</c:v>
                </c:pt>
                <c:pt idx="26">
                  <c:v>111</c:v>
                </c:pt>
                <c:pt idx="27">
                  <c:v>120</c:v>
                </c:pt>
                <c:pt idx="28">
                  <c:v>129</c:v>
                </c:pt>
                <c:pt idx="29">
                  <c:v>138</c:v>
                </c:pt>
                <c:pt idx="30">
                  <c:v>147</c:v>
                </c:pt>
                <c:pt idx="31">
                  <c:v>156</c:v>
                </c:pt>
                <c:pt idx="32">
                  <c:v>165</c:v>
                </c:pt>
                <c:pt idx="33">
                  <c:v>174</c:v>
                </c:pt>
                <c:pt idx="34">
                  <c:v>183</c:v>
                </c:pt>
                <c:pt idx="35">
                  <c:v>192</c:v>
                </c:pt>
              </c:numCache>
            </c:numRef>
          </c:xVal>
          <c:yVal>
            <c:numRef>
              <c:f>Proyecciones!$B$12:$AK$12</c:f>
              <c:numCache>
                <c:formatCode>_("$"* #,##0.00_);_("$"* \(#,##0.00\);_("$"* "-"??_);_(@_)</c:formatCode>
                <c:ptCount val="36"/>
                <c:pt idx="0">
                  <c:v>1546435.36</c:v>
                </c:pt>
                <c:pt idx="1">
                  <c:v>3092870.72</c:v>
                </c:pt>
                <c:pt idx="2">
                  <c:v>4639306.08</c:v>
                </c:pt>
                <c:pt idx="3">
                  <c:v>6185741.4400000004</c:v>
                </c:pt>
                <c:pt idx="4">
                  <c:v>7732176.8000000007</c:v>
                </c:pt>
                <c:pt idx="5">
                  <c:v>9278612.1600000001</c:v>
                </c:pt>
                <c:pt idx="6">
                  <c:v>10825047.520000001</c:v>
                </c:pt>
                <c:pt idx="7">
                  <c:v>12371482.880000001</c:v>
                </c:pt>
                <c:pt idx="8">
                  <c:v>13917918.24</c:v>
                </c:pt>
                <c:pt idx="9">
                  <c:v>15464353.600000001</c:v>
                </c:pt>
                <c:pt idx="10">
                  <c:v>17010788.960000001</c:v>
                </c:pt>
                <c:pt idx="11">
                  <c:v>18557224.32</c:v>
                </c:pt>
                <c:pt idx="12">
                  <c:v>23544478.240000002</c:v>
                </c:pt>
                <c:pt idx="13">
                  <c:v>27603871.040000003</c:v>
                </c:pt>
                <c:pt idx="14">
                  <c:v>31663263.840000004</c:v>
                </c:pt>
                <c:pt idx="15">
                  <c:v>35722656.640000001</c:v>
                </c:pt>
                <c:pt idx="16">
                  <c:v>39782049.440000005</c:v>
                </c:pt>
                <c:pt idx="17">
                  <c:v>43841442.240000002</c:v>
                </c:pt>
                <c:pt idx="18">
                  <c:v>47900835.040000007</c:v>
                </c:pt>
                <c:pt idx="19">
                  <c:v>51960227.840000004</c:v>
                </c:pt>
                <c:pt idx="20">
                  <c:v>56019620.640000001</c:v>
                </c:pt>
                <c:pt idx="21">
                  <c:v>60079013.440000005</c:v>
                </c:pt>
                <c:pt idx="22">
                  <c:v>64138406.240000002</c:v>
                </c:pt>
                <c:pt idx="23">
                  <c:v>68197799.040000007</c:v>
                </c:pt>
                <c:pt idx="24">
                  <c:v>79279941.569999993</c:v>
                </c:pt>
                <c:pt idx="25">
                  <c:v>86952193.980000004</c:v>
                </c:pt>
                <c:pt idx="26">
                  <c:v>94624446.390000001</c:v>
                </c:pt>
                <c:pt idx="27">
                  <c:v>102296698.8</c:v>
                </c:pt>
                <c:pt idx="28">
                  <c:v>109968951.20999999</c:v>
                </c:pt>
                <c:pt idx="29">
                  <c:v>117641203.62</c:v>
                </c:pt>
                <c:pt idx="30">
                  <c:v>125313456.03</c:v>
                </c:pt>
                <c:pt idx="31">
                  <c:v>132985708.44</c:v>
                </c:pt>
                <c:pt idx="32">
                  <c:v>140657960.84999999</c:v>
                </c:pt>
                <c:pt idx="33">
                  <c:v>148330213.25999999</c:v>
                </c:pt>
                <c:pt idx="34">
                  <c:v>156002465.66999999</c:v>
                </c:pt>
                <c:pt idx="35">
                  <c:v>163674718.07999998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5-412B-811A-784A73BF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192800"/>
        <c:axId val="1646469440"/>
      </c:scatterChart>
      <c:valAx>
        <c:axId val="149619280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Número de instituciones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6469440"/>
        <c:crosses val="autoZero"/>
        <c:crossBetween val="midCat"/>
        <c:majorUnit val="10"/>
        <c:minorUnit val="1"/>
      </c:valAx>
      <c:valAx>
        <c:axId val="16464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96192800"/>
        <c:crossesAt val="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baseline="0">
                <a:effectLst/>
              </a:rPr>
              <a:t>Proyección de EBITDA y Utilidad neta</a:t>
            </a:r>
            <a:endParaRPr lang="es-AR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Proyeccion EBITDA y Utilidad Neta</c:v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(Proyecciones!$X$14,Proyecciones!$X$19,Proyecciones!$AJ$14,Proyecciones!$AJ$19,Proyecciones!$L$14,Proyecciones!$L$19)</c:f>
              <c:strCache>
                <c:ptCount val="5"/>
                <c:pt idx="0">
                  <c:v>Utilidad operativa (EBITDA)</c:v>
                </c:pt>
                <c:pt idx="1">
                  <c:v>Utilidad Neta</c:v>
                </c:pt>
                <c:pt idx="2">
                  <c:v>Utilidad operativa (EBITDA)</c:v>
                </c:pt>
                <c:pt idx="3">
                  <c:v>Utilidad Neta</c:v>
                </c:pt>
                <c:pt idx="4">
                  <c:v> $ 20,85 </c:v>
                </c:pt>
              </c:strCache>
            </c:strRef>
          </c:cat>
          <c:val>
            <c:numRef>
              <c:f>(Proyecciones!$M$14,Proyecciones!$M$19,Proyecciones!$Y$14,Proyecciones!$Y$19,Proyecciones!$AK$14,Proyecciones!$AK$19)</c:f>
              <c:numCache>
                <c:formatCode>_("$"* #,##0.00_);_("$"* \(#,##0.00\);_("$"* "-"??_);_(@_)</c:formatCode>
                <c:ptCount val="6"/>
                <c:pt idx="0">
                  <c:v>-53519585.760000005</c:v>
                </c:pt>
                <c:pt idx="1">
                  <c:v>-32004712.284480002</c:v>
                </c:pt>
                <c:pt idx="2">
                  <c:v>208326619.56</c:v>
                </c:pt>
                <c:pt idx="3">
                  <c:v>124579318.49688001</c:v>
                </c:pt>
                <c:pt idx="4">
                  <c:v>799902886.20179987</c:v>
                </c:pt>
                <c:pt idx="5">
                  <c:v>478341925.94867635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F2-45EC-8B31-136D757DD321}"/>
            </c:ext>
          </c:extLst>
        </c:ser>
        <c:ser>
          <c:idx val="0"/>
          <c:order val="1"/>
          <c:tx>
            <c:v>Proyeccion EBITDA y Utilidad Neta</c:v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168212659489438E-2"/>
                  <c:y val="0.361015525297242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F2-45EC-8B31-136D757DD321}"/>
                </c:ext>
              </c:extLst>
            </c:dLbl>
            <c:dLbl>
              <c:idx val="1"/>
              <c:layout>
                <c:manualLayout>
                  <c:x val="-1.9397186077053305E-2"/>
                  <c:y val="0.123505183327772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F2-45EC-8B31-136D757DD321}"/>
                </c:ext>
              </c:extLst>
            </c:dLbl>
            <c:dLbl>
              <c:idx val="2"/>
              <c:layout>
                <c:manualLayout>
                  <c:x val="-1.1084106329744796E-2"/>
                  <c:y val="-2.3750996793802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F2-45EC-8B31-136D757DD321}"/>
                </c:ext>
              </c:extLst>
            </c:dLbl>
            <c:dLbl>
              <c:idx val="3"/>
              <c:layout>
                <c:manualLayout>
                  <c:x val="-1.108410632974474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F2-45EC-8B31-136D757DD3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(Proyecciones!$X$14,Proyecciones!$X$19,Proyecciones!$AJ$14,Proyecciones!$AJ$19,Proyecciones!$L$14,Proyecciones!$L$19)</c:f>
              <c:strCache>
                <c:ptCount val="5"/>
                <c:pt idx="0">
                  <c:v>Utilidad operativa (EBITDA)</c:v>
                </c:pt>
                <c:pt idx="1">
                  <c:v>Utilidad Neta</c:v>
                </c:pt>
                <c:pt idx="2">
                  <c:v>Utilidad operativa (EBITDA)</c:v>
                </c:pt>
                <c:pt idx="3">
                  <c:v>Utilidad Neta</c:v>
                </c:pt>
                <c:pt idx="4">
                  <c:v> $ 20,85 </c:v>
                </c:pt>
              </c:strCache>
            </c:strRef>
          </c:cat>
          <c:val>
            <c:numRef>
              <c:f>(Proyecciones!$M$14,Proyecciones!$M$19,Proyecciones!$Y$14,Proyecciones!$Y$19,Proyecciones!$AK$14,Proyecciones!$AK$19)</c:f>
              <c:numCache>
                <c:formatCode>_("$"* #,##0.00_);_("$"* \(#,##0.00\);_("$"* "-"??_);_(@_)</c:formatCode>
                <c:ptCount val="6"/>
                <c:pt idx="0">
                  <c:v>-53519585.760000005</c:v>
                </c:pt>
                <c:pt idx="1">
                  <c:v>-32004712.284480002</c:v>
                </c:pt>
                <c:pt idx="2">
                  <c:v>208326619.56</c:v>
                </c:pt>
                <c:pt idx="3">
                  <c:v>124579318.49688001</c:v>
                </c:pt>
                <c:pt idx="4">
                  <c:v>799902886.20179987</c:v>
                </c:pt>
                <c:pt idx="5">
                  <c:v>478341925.94867635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2-45EC-8B31-136D757DD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8"/>
        <c:overlap val="-33"/>
        <c:axId val="1773897488"/>
        <c:axId val="1644035216"/>
      </c:barChart>
      <c:catAx>
        <c:axId val="17738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4035216"/>
        <c:crosses val="autoZero"/>
        <c:auto val="1"/>
        <c:lblAlgn val="ctr"/>
        <c:lblOffset val="100"/>
        <c:noMultiLvlLbl val="0"/>
      </c:catAx>
      <c:valAx>
        <c:axId val="16440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38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Proyección de costos e ingresos Año 1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Costos totales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Proyecciones!$B$9:$M$9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</c:numCache>
            </c:numRef>
          </c:xVal>
          <c:yVal>
            <c:numRef>
              <c:f>Proyecciones!$B$10:$M$10</c:f>
              <c:numCache>
                <c:formatCode>_("$"* #,##0.00_);_("$"* \(#,##0.00\);_("$"* "-"??_);_(@_)</c:formatCode>
                <c:ptCount val="12"/>
                <c:pt idx="0">
                  <c:v>12255855.920000002</c:v>
                </c:pt>
                <c:pt idx="1">
                  <c:v>12666026.720000001</c:v>
                </c:pt>
                <c:pt idx="2">
                  <c:v>13076197.520000001</c:v>
                </c:pt>
                <c:pt idx="3">
                  <c:v>13486368.32</c:v>
                </c:pt>
                <c:pt idx="4">
                  <c:v>13896539.120000001</c:v>
                </c:pt>
                <c:pt idx="5">
                  <c:v>14306709.920000002</c:v>
                </c:pt>
                <c:pt idx="6">
                  <c:v>14716880.720000001</c:v>
                </c:pt>
                <c:pt idx="7">
                  <c:v>15127051.520000001</c:v>
                </c:pt>
                <c:pt idx="8">
                  <c:v>15537222.32</c:v>
                </c:pt>
                <c:pt idx="9">
                  <c:v>15947393.120000001</c:v>
                </c:pt>
                <c:pt idx="10">
                  <c:v>16357563.920000002</c:v>
                </c:pt>
                <c:pt idx="11">
                  <c:v>16767734.720000001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7-4E01-879B-793B218C7D84}"/>
            </c:ext>
          </c:extLst>
        </c:ser>
        <c:ser>
          <c:idx val="1"/>
          <c:order val="1"/>
          <c:tx>
            <c:v>Igresos totales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Proyecciones!$B$9:$M$9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</c:numCache>
            </c:numRef>
          </c:xVal>
          <c:yVal>
            <c:numRef>
              <c:f>Proyecciones!$B$12:$M$12</c:f>
              <c:numCache>
                <c:formatCode>_("$"* #,##0.00_);_("$"* \(#,##0.00\);_("$"* "-"??_);_(@_)</c:formatCode>
                <c:ptCount val="12"/>
                <c:pt idx="0">
                  <c:v>1546435.36</c:v>
                </c:pt>
                <c:pt idx="1">
                  <c:v>3092870.72</c:v>
                </c:pt>
                <c:pt idx="2">
                  <c:v>4639306.08</c:v>
                </c:pt>
                <c:pt idx="3">
                  <c:v>6185741.4400000004</c:v>
                </c:pt>
                <c:pt idx="4">
                  <c:v>7732176.8000000007</c:v>
                </c:pt>
                <c:pt idx="5">
                  <c:v>9278612.1600000001</c:v>
                </c:pt>
                <c:pt idx="6">
                  <c:v>10825047.520000001</c:v>
                </c:pt>
                <c:pt idx="7">
                  <c:v>12371482.880000001</c:v>
                </c:pt>
                <c:pt idx="8">
                  <c:v>13917918.24</c:v>
                </c:pt>
                <c:pt idx="9">
                  <c:v>15464353.600000001</c:v>
                </c:pt>
                <c:pt idx="10">
                  <c:v>17010788.960000001</c:v>
                </c:pt>
                <c:pt idx="11">
                  <c:v>18557224.32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7-4E01-879B-793B218C7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758784"/>
        <c:axId val="1645483808"/>
      </c:scatterChart>
      <c:valAx>
        <c:axId val="191375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baseline="0">
                    <a:effectLst/>
                  </a:rPr>
                  <a:t>Número de institucione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5483808"/>
        <c:crosses val="autoZero"/>
        <c:crossBetween val="midCat"/>
      </c:valAx>
      <c:valAx>
        <c:axId val="16454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375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325960</xdr:colOff>
      <xdr:row>45</xdr:row>
      <xdr:rowOff>172754</xdr:rowOff>
    </xdr:from>
    <xdr:to>
      <xdr:col>6</xdr:col>
      <xdr:colOff>591127</xdr:colOff>
      <xdr:row>59</xdr:row>
      <xdr:rowOff>190382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805BFB-E7D3-4FE3-9510-7A7B35EF2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269875</xdr:colOff>
      <xdr:row>29</xdr:row>
      <xdr:rowOff>46567</xdr:rowOff>
    </xdr:from>
    <xdr:to>
      <xdr:col>10</xdr:col>
      <xdr:colOff>1005416</xdr:colOff>
      <xdr:row>43</xdr:row>
      <xdr:rowOff>22225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FF5B7F-1E11-4709-9582-FCCC6A43F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845013</xdr:colOff>
      <xdr:row>28</xdr:row>
      <xdr:rowOff>182809</xdr:rowOff>
    </xdr:from>
    <xdr:to>
      <xdr:col>6</xdr:col>
      <xdr:colOff>348558</xdr:colOff>
      <xdr:row>42</xdr:row>
      <xdr:rowOff>174939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A82D4AC-E7C2-4E90-85FB-5C99E4425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"/>
  <sheetViews>
    <sheetView tabSelected="1" topLeftCell="D25" zoomScale="81" zoomScaleNormal="60" workbookViewId="0">
      <selection activeCell="AL20" sqref="AL20"/>
    </sheetView>
  </sheetViews>
  <sheetFormatPr baseColWidth="10" defaultRowHeight="15.5" x14ac:dyDescent="0.35"/>
  <cols>
    <col min="1" max="1" width="42.83203125" customWidth="1"/>
    <col min="2" max="3" width="16.83203125" customWidth="1"/>
    <col min="4" max="4" width="33" customWidth="1"/>
    <col min="5" max="10" width="16.83203125" customWidth="1"/>
    <col min="11" max="11" width="24.33203125" customWidth="1"/>
    <col min="12" max="12" width="29.83203125" customWidth="1"/>
    <col min="13" max="13" width="26.5" customWidth="1"/>
    <col min="14" max="14" width="23" customWidth="1"/>
    <col min="15" max="24" width="16.83203125" customWidth="1"/>
    <col min="25" max="25" width="31" customWidth="1"/>
    <col min="26" max="35" width="16.83203125" customWidth="1"/>
    <col min="36" max="36" width="23.25" customWidth="1"/>
    <col min="37" max="37" width="24.33203125" customWidth="1"/>
    <col min="38" max="38" width="14.83203125" customWidth="1"/>
  </cols>
  <sheetData>
    <row r="1" spans="1:37" x14ac:dyDescent="0.35">
      <c r="B1" t="s">
        <v>0</v>
      </c>
      <c r="C1" t="s">
        <v>1</v>
      </c>
      <c r="D1" t="s">
        <v>2</v>
      </c>
    </row>
    <row r="2" spans="1:37" x14ac:dyDescent="0.35">
      <c r="A2" t="s">
        <v>3</v>
      </c>
      <c r="B2" s="4">
        <f>Estimaciones!C5</f>
        <v>11845685.120000001</v>
      </c>
      <c r="C2" s="23">
        <f>Estimaciones!D5</f>
        <v>16343895.655000001</v>
      </c>
      <c r="D2" s="4">
        <f>Estimaciones!E5</f>
        <v>22598557.851100001</v>
      </c>
    </row>
    <row r="3" spans="1:37" x14ac:dyDescent="0.35">
      <c r="A3" t="s">
        <v>4</v>
      </c>
      <c r="B3" s="4">
        <f>Estimaciones!C28</f>
        <v>205085.4</v>
      </c>
      <c r="C3" s="4">
        <f>Estimaciones!D28</f>
        <v>215339.67</v>
      </c>
      <c r="D3" s="4">
        <f>Estimaciones!E28</f>
        <v>226106.65350000001</v>
      </c>
    </row>
    <row r="4" spans="1:37" x14ac:dyDescent="0.35">
      <c r="A4" t="s">
        <v>5</v>
      </c>
      <c r="B4" t="s">
        <v>6</v>
      </c>
      <c r="C4" t="s">
        <v>6</v>
      </c>
      <c r="D4" t="s">
        <v>6</v>
      </c>
    </row>
    <row r="6" spans="1:37" x14ac:dyDescent="0.35">
      <c r="D6" s="4"/>
    </row>
    <row r="7" spans="1:37" x14ac:dyDescent="0.35">
      <c r="A7" t="s">
        <v>7</v>
      </c>
      <c r="B7" s="1" t="s">
        <v>0</v>
      </c>
      <c r="N7" s="2" t="s">
        <v>1</v>
      </c>
      <c r="Z7" s="3" t="s">
        <v>2</v>
      </c>
    </row>
    <row r="8" spans="1:37" x14ac:dyDescent="0.35"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19</v>
      </c>
      <c r="N8" s="2" t="s">
        <v>8</v>
      </c>
      <c r="O8" s="2" t="s">
        <v>9</v>
      </c>
      <c r="P8" s="2" t="s">
        <v>10</v>
      </c>
      <c r="Q8" s="2" t="s">
        <v>11</v>
      </c>
      <c r="R8" s="2" t="s">
        <v>12</v>
      </c>
      <c r="S8" s="2" t="s">
        <v>13</v>
      </c>
      <c r="T8" s="2" t="s">
        <v>14</v>
      </c>
      <c r="U8" s="2" t="s">
        <v>15</v>
      </c>
      <c r="V8" s="2" t="s">
        <v>16</v>
      </c>
      <c r="W8" s="2" t="s">
        <v>17</v>
      </c>
      <c r="X8" s="2" t="s">
        <v>18</v>
      </c>
      <c r="Y8" s="2" t="s">
        <v>19</v>
      </c>
      <c r="Z8" s="3" t="s">
        <v>8</v>
      </c>
      <c r="AA8" s="3" t="s">
        <v>9</v>
      </c>
      <c r="AB8" s="3" t="s">
        <v>10</v>
      </c>
      <c r="AC8" s="3" t="s">
        <v>11</v>
      </c>
      <c r="AD8" s="3" t="s">
        <v>12</v>
      </c>
      <c r="AE8" s="3" t="s">
        <v>13</v>
      </c>
      <c r="AF8" s="3" t="s">
        <v>14</v>
      </c>
      <c r="AG8" s="3" t="s">
        <v>15</v>
      </c>
      <c r="AH8" s="3" t="s">
        <v>16</v>
      </c>
      <c r="AI8" s="3" t="s">
        <v>17</v>
      </c>
      <c r="AJ8" s="3" t="s">
        <v>18</v>
      </c>
      <c r="AK8" s="3" t="s">
        <v>19</v>
      </c>
    </row>
    <row r="9" spans="1:37" x14ac:dyDescent="0.35">
      <c r="A9" t="s">
        <v>20</v>
      </c>
      <c r="B9">
        <v>2</v>
      </c>
      <c r="C9">
        <v>4</v>
      </c>
      <c r="D9">
        <v>6</v>
      </c>
      <c r="E9">
        <v>8</v>
      </c>
      <c r="F9">
        <v>10</v>
      </c>
      <c r="G9">
        <v>12</v>
      </c>
      <c r="H9">
        <v>14</v>
      </c>
      <c r="I9">
        <v>16</v>
      </c>
      <c r="J9">
        <v>18</v>
      </c>
      <c r="K9">
        <v>20</v>
      </c>
      <c r="L9">
        <v>22</v>
      </c>
      <c r="M9">
        <v>24</v>
      </c>
      <c r="N9">
        <f t="shared" ref="N9:Y9" si="0">M9+5</f>
        <v>29</v>
      </c>
      <c r="O9">
        <f t="shared" si="0"/>
        <v>34</v>
      </c>
      <c r="P9">
        <f t="shared" si="0"/>
        <v>39</v>
      </c>
      <c r="Q9">
        <f t="shared" si="0"/>
        <v>44</v>
      </c>
      <c r="R9">
        <f t="shared" si="0"/>
        <v>49</v>
      </c>
      <c r="S9">
        <f t="shared" si="0"/>
        <v>54</v>
      </c>
      <c r="T9">
        <f t="shared" si="0"/>
        <v>59</v>
      </c>
      <c r="U9">
        <f t="shared" si="0"/>
        <v>64</v>
      </c>
      <c r="V9">
        <f t="shared" si="0"/>
        <v>69</v>
      </c>
      <c r="W9">
        <f t="shared" si="0"/>
        <v>74</v>
      </c>
      <c r="X9">
        <f t="shared" si="0"/>
        <v>79</v>
      </c>
      <c r="Y9">
        <f t="shared" si="0"/>
        <v>84</v>
      </c>
      <c r="Z9">
        <f t="shared" ref="Z9:AK9" si="1">Y9+9</f>
        <v>93</v>
      </c>
      <c r="AA9">
        <f t="shared" si="1"/>
        <v>102</v>
      </c>
      <c r="AB9">
        <f t="shared" si="1"/>
        <v>111</v>
      </c>
      <c r="AC9">
        <f t="shared" si="1"/>
        <v>120</v>
      </c>
      <c r="AD9">
        <f t="shared" si="1"/>
        <v>129</v>
      </c>
      <c r="AE9">
        <f t="shared" si="1"/>
        <v>138</v>
      </c>
      <c r="AF9">
        <f t="shared" si="1"/>
        <v>147</v>
      </c>
      <c r="AG9">
        <f t="shared" si="1"/>
        <v>156</v>
      </c>
      <c r="AH9">
        <f t="shared" si="1"/>
        <v>165</v>
      </c>
      <c r="AI9">
        <f t="shared" si="1"/>
        <v>174</v>
      </c>
      <c r="AJ9">
        <f t="shared" si="1"/>
        <v>183</v>
      </c>
      <c r="AK9">
        <f t="shared" si="1"/>
        <v>192</v>
      </c>
    </row>
    <row r="10" spans="1:37" x14ac:dyDescent="0.35">
      <c r="A10" t="s">
        <v>21</v>
      </c>
      <c r="B10" s="5">
        <f>$B$2+($B$3*2)</f>
        <v>12255855.920000002</v>
      </c>
      <c r="C10" s="5">
        <f>$B$2+($B$3*C9)</f>
        <v>12666026.720000001</v>
      </c>
      <c r="D10" s="5">
        <f>$B$2+($B$3*D9)</f>
        <v>13076197.520000001</v>
      </c>
      <c r="E10" s="5">
        <f t="shared" ref="E10:J10" si="2">$B$2+($B$3*E9)</f>
        <v>13486368.32</v>
      </c>
      <c r="F10" s="5">
        <f t="shared" si="2"/>
        <v>13896539.120000001</v>
      </c>
      <c r="G10" s="5">
        <f t="shared" si="2"/>
        <v>14306709.920000002</v>
      </c>
      <c r="H10" s="5">
        <f t="shared" si="2"/>
        <v>14716880.720000001</v>
      </c>
      <c r="I10" s="5">
        <f t="shared" si="2"/>
        <v>15127051.520000001</v>
      </c>
      <c r="J10" s="5">
        <f t="shared" si="2"/>
        <v>15537222.32</v>
      </c>
      <c r="K10" s="5">
        <f t="shared" ref="K10" si="3">$B$2+($B$3*K9)</f>
        <v>15947393.120000001</v>
      </c>
      <c r="L10" s="5">
        <f t="shared" ref="L10" si="4">$B$2+($B$3*L9)</f>
        <v>16357563.920000002</v>
      </c>
      <c r="M10" s="5">
        <f t="shared" ref="M10" si="5">$B$2+($B$3*M9)</f>
        <v>16767734.720000001</v>
      </c>
      <c r="N10" s="4">
        <f>$C$2+($C$3*N9)</f>
        <v>22588746.085000001</v>
      </c>
      <c r="O10" s="4">
        <f t="shared" ref="O10:S10" si="6">$C$2+($C$3*O9)</f>
        <v>23665444.435000002</v>
      </c>
      <c r="P10" s="4">
        <f t="shared" si="6"/>
        <v>24742142.785000004</v>
      </c>
      <c r="Q10" s="4">
        <f t="shared" si="6"/>
        <v>25818841.135000002</v>
      </c>
      <c r="R10" s="4">
        <f t="shared" si="6"/>
        <v>26895539.484999999</v>
      </c>
      <c r="S10" s="4">
        <f t="shared" si="6"/>
        <v>27972237.835000001</v>
      </c>
      <c r="T10" s="4">
        <f t="shared" ref="T10" si="7">$C$2+($C$3*T9)</f>
        <v>29048936.185000002</v>
      </c>
      <c r="U10" s="4">
        <f t="shared" ref="U10" si="8">$C$2+($C$3*U9)</f>
        <v>30125634.535000004</v>
      </c>
      <c r="V10" s="4">
        <f t="shared" ref="V10" si="9">$C$2+($C$3*V9)</f>
        <v>31202332.885000002</v>
      </c>
      <c r="W10" s="4">
        <f t="shared" ref="W10" si="10">$C$2+($C$3*W9)</f>
        <v>32279031.234999999</v>
      </c>
      <c r="X10" s="4">
        <f t="shared" ref="X10" si="11">$C$2+($C$3*X9)</f>
        <v>33355729.585000001</v>
      </c>
      <c r="Y10" s="4">
        <f t="shared" ref="Y10" si="12">$C$2+($C$3*Y9)</f>
        <v>34432427.935000002</v>
      </c>
      <c r="Z10" s="4">
        <f>$D$2+($D$3*Z9)</f>
        <v>43626476.626599997</v>
      </c>
      <c r="AA10" s="4">
        <f t="shared" ref="AA10:AF10" si="13">$D$2+($D$3*AA9)</f>
        <v>45661436.508100003</v>
      </c>
      <c r="AB10" s="4">
        <f t="shared" si="13"/>
        <v>47696396.389600009</v>
      </c>
      <c r="AC10" s="4">
        <f t="shared" si="13"/>
        <v>49731356.2711</v>
      </c>
      <c r="AD10" s="4">
        <f t="shared" si="13"/>
        <v>51766316.152600005</v>
      </c>
      <c r="AE10" s="4">
        <f t="shared" si="13"/>
        <v>53801276.034100004</v>
      </c>
      <c r="AF10" s="4">
        <f t="shared" si="13"/>
        <v>55836235.915600002</v>
      </c>
      <c r="AG10" s="4">
        <f t="shared" ref="AG10" si="14">$D$2+($D$3*AG9)</f>
        <v>57871195.797100008</v>
      </c>
      <c r="AH10" s="4">
        <f t="shared" ref="AH10" si="15">$D$2+($D$3*AH9)</f>
        <v>59906155.678599998</v>
      </c>
      <c r="AI10" s="4">
        <f t="shared" ref="AI10" si="16">$D$2+($D$3*AI9)</f>
        <v>61941115.560100004</v>
      </c>
      <c r="AJ10" s="4">
        <f t="shared" ref="AJ10" si="17">$D$2+($D$3*AJ9)</f>
        <v>63976075.44160001</v>
      </c>
      <c r="AK10" s="4">
        <f t="shared" ref="AK10" si="18">$D$2+($D$3*AK9)</f>
        <v>66011035.323100001</v>
      </c>
    </row>
    <row r="11" spans="1:37" x14ac:dyDescent="0.35">
      <c r="A11" t="s">
        <v>22</v>
      </c>
      <c r="B11" s="4">
        <v>773217.68</v>
      </c>
      <c r="C11" s="4">
        <f>B11</f>
        <v>773217.68</v>
      </c>
      <c r="D11" s="4">
        <f>C11</f>
        <v>773217.68</v>
      </c>
      <c r="E11" s="4">
        <f t="shared" ref="E11:M11" si="19">D11</f>
        <v>773217.68</v>
      </c>
      <c r="F11" s="4">
        <f t="shared" si="19"/>
        <v>773217.68</v>
      </c>
      <c r="G11" s="4">
        <f t="shared" si="19"/>
        <v>773217.68</v>
      </c>
      <c r="H11" s="4">
        <f t="shared" si="19"/>
        <v>773217.68</v>
      </c>
      <c r="I11" s="4">
        <f t="shared" si="19"/>
        <v>773217.68</v>
      </c>
      <c r="J11" s="4">
        <f t="shared" si="19"/>
        <v>773217.68</v>
      </c>
      <c r="K11" s="4">
        <f t="shared" si="19"/>
        <v>773217.68</v>
      </c>
      <c r="L11" s="4">
        <f t="shared" si="19"/>
        <v>773217.68</v>
      </c>
      <c r="M11" s="4">
        <f t="shared" si="19"/>
        <v>773217.68</v>
      </c>
      <c r="N11" s="4">
        <v>811878.56</v>
      </c>
      <c r="O11" s="4">
        <v>811878.56</v>
      </c>
      <c r="P11" s="4">
        <v>811878.56</v>
      </c>
      <c r="Q11" s="4">
        <v>811878.56</v>
      </c>
      <c r="R11" s="4">
        <v>811878.56</v>
      </c>
      <c r="S11" s="4">
        <v>811878.56</v>
      </c>
      <c r="T11" s="4">
        <v>811878.56</v>
      </c>
      <c r="U11" s="4">
        <v>811878.56</v>
      </c>
      <c r="V11" s="4">
        <v>811878.56</v>
      </c>
      <c r="W11" s="4">
        <v>811878.56</v>
      </c>
      <c r="X11" s="4">
        <v>811878.56</v>
      </c>
      <c r="Y11" s="4">
        <v>811878.56</v>
      </c>
      <c r="Z11" s="4">
        <v>852472.49</v>
      </c>
      <c r="AA11" s="4">
        <v>852472.49</v>
      </c>
      <c r="AB11" s="4">
        <v>852472.49</v>
      </c>
      <c r="AC11" s="4">
        <v>852472.49</v>
      </c>
      <c r="AD11" s="4">
        <v>852472.49</v>
      </c>
      <c r="AE11" s="4">
        <v>852472.49</v>
      </c>
      <c r="AF11" s="4">
        <v>852472.49</v>
      </c>
      <c r="AG11" s="4">
        <v>852472.49</v>
      </c>
      <c r="AH11" s="4">
        <v>852472.49</v>
      </c>
      <c r="AI11" s="4">
        <v>852472.49</v>
      </c>
      <c r="AJ11" s="4">
        <v>852472.49</v>
      </c>
      <c r="AK11" s="4">
        <v>852472.49</v>
      </c>
    </row>
    <row r="12" spans="1:37" x14ac:dyDescent="0.35">
      <c r="A12" t="s">
        <v>23</v>
      </c>
      <c r="B12" s="4">
        <f>B11*B9</f>
        <v>1546435.36</v>
      </c>
      <c r="C12" s="4">
        <f>C11*C9</f>
        <v>3092870.72</v>
      </c>
      <c r="D12" s="4">
        <f>D11*D9</f>
        <v>4639306.08</v>
      </c>
      <c r="E12" s="4">
        <f t="shared" ref="E12:M12" si="20">E11*E9</f>
        <v>6185741.4400000004</v>
      </c>
      <c r="F12" s="4">
        <f t="shared" si="20"/>
        <v>7732176.8000000007</v>
      </c>
      <c r="G12" s="4">
        <f t="shared" si="20"/>
        <v>9278612.1600000001</v>
      </c>
      <c r="H12" s="4">
        <f t="shared" si="20"/>
        <v>10825047.520000001</v>
      </c>
      <c r="I12" s="4">
        <f t="shared" si="20"/>
        <v>12371482.880000001</v>
      </c>
      <c r="J12" s="4">
        <f t="shared" si="20"/>
        <v>13917918.24</v>
      </c>
      <c r="K12" s="4">
        <f t="shared" si="20"/>
        <v>15464353.600000001</v>
      </c>
      <c r="L12" s="4">
        <f t="shared" si="20"/>
        <v>17010788.960000001</v>
      </c>
      <c r="M12" s="4">
        <f t="shared" si="20"/>
        <v>18557224.32</v>
      </c>
      <c r="N12" s="4">
        <f t="shared" ref="N12" si="21">N11*N9</f>
        <v>23544478.240000002</v>
      </c>
      <c r="O12" s="4">
        <f t="shared" ref="O12" si="22">O11*O9</f>
        <v>27603871.040000003</v>
      </c>
      <c r="P12" s="4">
        <f t="shared" ref="P12" si="23">P11*P9</f>
        <v>31663263.840000004</v>
      </c>
      <c r="Q12" s="4">
        <f t="shared" ref="Q12" si="24">Q11*Q9</f>
        <v>35722656.640000001</v>
      </c>
      <c r="R12" s="4">
        <f t="shared" ref="R12" si="25">R11*R9</f>
        <v>39782049.440000005</v>
      </c>
      <c r="S12" s="4">
        <f t="shared" ref="S12" si="26">S11*S9</f>
        <v>43841442.240000002</v>
      </c>
      <c r="T12" s="4">
        <f t="shared" ref="T12" si="27">T11*T9</f>
        <v>47900835.040000007</v>
      </c>
      <c r="U12" s="4">
        <f t="shared" ref="U12" si="28">U11*U9</f>
        <v>51960227.840000004</v>
      </c>
      <c r="V12" s="4">
        <f t="shared" ref="V12" si="29">V11*V9</f>
        <v>56019620.640000001</v>
      </c>
      <c r="W12" s="4">
        <f t="shared" ref="W12" si="30">W11*W9</f>
        <v>60079013.440000005</v>
      </c>
      <c r="X12" s="4">
        <f t="shared" ref="X12" si="31">X11*X9</f>
        <v>64138406.240000002</v>
      </c>
      <c r="Y12" s="4">
        <f t="shared" ref="Y12" si="32">Y11*Y9</f>
        <v>68197799.040000007</v>
      </c>
      <c r="Z12" s="4">
        <f t="shared" ref="Z12" si="33">Z11*Z9</f>
        <v>79279941.569999993</v>
      </c>
      <c r="AA12" s="4">
        <f t="shared" ref="AA12" si="34">AA11*AA9</f>
        <v>86952193.980000004</v>
      </c>
      <c r="AB12" s="4">
        <f t="shared" ref="AB12" si="35">AB11*AB9</f>
        <v>94624446.390000001</v>
      </c>
      <c r="AC12" s="4">
        <f t="shared" ref="AC12" si="36">AC11*AC9</f>
        <v>102296698.8</v>
      </c>
      <c r="AD12" s="4">
        <f t="shared" ref="AD12" si="37">AD11*AD9</f>
        <v>109968951.20999999</v>
      </c>
      <c r="AE12" s="4">
        <f t="shared" ref="AE12" si="38">AE11*AE9</f>
        <v>117641203.62</v>
      </c>
      <c r="AF12" s="4">
        <f t="shared" ref="AF12" si="39">AF11*AF9</f>
        <v>125313456.03</v>
      </c>
      <c r="AG12" s="4">
        <f t="shared" ref="AG12" si="40">AG11*AG9</f>
        <v>132985708.44</v>
      </c>
      <c r="AH12" s="4">
        <f t="shared" ref="AH12" si="41">AH11*AH9</f>
        <v>140657960.84999999</v>
      </c>
      <c r="AI12" s="4">
        <f t="shared" ref="AI12" si="42">AI11*AI9</f>
        <v>148330213.25999999</v>
      </c>
      <c r="AJ12" s="4">
        <f t="shared" ref="AJ12" si="43">AJ11*AJ9</f>
        <v>156002465.66999999</v>
      </c>
      <c r="AK12" s="4">
        <f t="shared" ref="AK12" si="44">AK11*AK9</f>
        <v>163674718.07999998</v>
      </c>
    </row>
    <row r="13" spans="1:37" ht="16" thickBot="1" x14ac:dyDescent="0.4">
      <c r="A13" s="14" t="s">
        <v>24</v>
      </c>
      <c r="B13" s="15">
        <f>B12-B10</f>
        <v>-10709420.560000002</v>
      </c>
      <c r="C13" s="15">
        <f t="shared" ref="C13:F13" si="45">C12-C10</f>
        <v>-9573156</v>
      </c>
      <c r="D13" s="15">
        <f t="shared" si="45"/>
        <v>-8436891.4400000013</v>
      </c>
      <c r="E13" s="15">
        <f t="shared" si="45"/>
        <v>-7300626.8799999999</v>
      </c>
      <c r="F13" s="15">
        <f t="shared" si="45"/>
        <v>-6164362.3200000003</v>
      </c>
      <c r="G13" s="15">
        <f t="shared" ref="G13" si="46">G12-G10</f>
        <v>-5028097.7600000016</v>
      </c>
      <c r="H13" s="15">
        <f t="shared" ref="H13" si="47">H12-H10</f>
        <v>-3891833.1999999993</v>
      </c>
      <c r="I13" s="15">
        <f t="shared" ref="I13" si="48">I12-I10</f>
        <v>-2755568.6400000006</v>
      </c>
      <c r="J13" s="32">
        <f t="shared" ref="J13" si="49">J12-J10</f>
        <v>-1619304.08</v>
      </c>
      <c r="K13" s="32">
        <f t="shared" ref="K13" si="50">K12-K10</f>
        <v>-483039.51999999955</v>
      </c>
      <c r="L13" s="19">
        <f t="shared" ref="L13" si="51">L12-L10</f>
        <v>653225.03999999911</v>
      </c>
      <c r="M13" s="23">
        <f t="shared" ref="M13" si="52">M12-M10</f>
        <v>1789489.5999999996</v>
      </c>
      <c r="N13" s="23">
        <f t="shared" ref="N13" si="53">N12-N10</f>
        <v>955732.15500000119</v>
      </c>
      <c r="O13" s="15">
        <f t="shared" ref="O13" si="54">O12-O10</f>
        <v>3938426.6050000004</v>
      </c>
      <c r="P13" s="15">
        <f t="shared" ref="P13" si="55">P12-P10</f>
        <v>6921121.0549999997</v>
      </c>
      <c r="Q13" s="15">
        <f t="shared" ref="Q13" si="56">Q12-Q10</f>
        <v>9903815.504999999</v>
      </c>
      <c r="R13" s="15">
        <f t="shared" ref="R13" si="57">R12-R10</f>
        <v>12886509.955000006</v>
      </c>
      <c r="S13" s="15">
        <f t="shared" ref="S13" si="58">S12-S10</f>
        <v>15869204.405000001</v>
      </c>
      <c r="T13" s="15">
        <f t="shared" ref="T13" si="59">T12-T10</f>
        <v>18851898.855000004</v>
      </c>
      <c r="U13" s="15">
        <f t="shared" ref="U13" si="60">U12-U10</f>
        <v>21834593.305</v>
      </c>
      <c r="V13" s="15">
        <f t="shared" ref="V13" si="61">V12-V10</f>
        <v>24817287.754999999</v>
      </c>
      <c r="W13" s="15">
        <f t="shared" ref="W13" si="62">W12-W10</f>
        <v>27799982.205000006</v>
      </c>
      <c r="X13" s="15">
        <f t="shared" ref="X13" si="63">X12-X10</f>
        <v>30782676.655000001</v>
      </c>
      <c r="Y13" s="15">
        <f t="shared" ref="Y13" si="64">Y12-Y10</f>
        <v>33765371.105000004</v>
      </c>
      <c r="Z13" s="15">
        <f t="shared" ref="Z13" si="65">Z12-Z10</f>
        <v>35653464.943399996</v>
      </c>
      <c r="AA13" s="15">
        <f t="shared" ref="AA13" si="66">AA12-AA10</f>
        <v>41290757.471900001</v>
      </c>
      <c r="AB13" s="15">
        <f t="shared" ref="AB13" si="67">AB12-AB10</f>
        <v>46928050.000399992</v>
      </c>
      <c r="AC13" s="15">
        <f t="shared" ref="AC13" si="68">AC12-AC10</f>
        <v>52565342.528899997</v>
      </c>
      <c r="AD13" s="15">
        <f t="shared" ref="AD13" si="69">AD12-AD10</f>
        <v>58202635.057399988</v>
      </c>
      <c r="AE13" s="15">
        <f t="shared" ref="AE13" si="70">AE12-AE10</f>
        <v>63839927.585900001</v>
      </c>
      <c r="AF13" s="15">
        <f t="shared" ref="AF13" si="71">AF12-AF10</f>
        <v>69477220.114399999</v>
      </c>
      <c r="AG13" s="15">
        <f t="shared" ref="AG13" si="72">AG12-AG10</f>
        <v>75114512.64289999</v>
      </c>
      <c r="AH13" s="15">
        <f t="shared" ref="AH13" si="73">AH12-AH10</f>
        <v>80751805.171399996</v>
      </c>
      <c r="AI13" s="15">
        <f t="shared" ref="AI13" si="74">AI12-AI10</f>
        <v>86389097.699899986</v>
      </c>
      <c r="AJ13" s="23">
        <f t="shared" ref="AJ13" si="75">AJ12-AJ10</f>
        <v>92026390.228399977</v>
      </c>
      <c r="AK13" s="23">
        <f t="shared" ref="AK13" si="76">AK12-AK10</f>
        <v>97663682.756899983</v>
      </c>
    </row>
    <row r="14" spans="1:37" x14ac:dyDescent="0.35">
      <c r="D14" s="4"/>
      <c r="J14" s="33"/>
      <c r="K14" s="18" t="s">
        <v>85</v>
      </c>
      <c r="L14" s="44">
        <f>B2/(L11-B3)</f>
        <v>20.850223683822367</v>
      </c>
      <c r="M14" s="40">
        <f>SUM(B13:M13)</f>
        <v>-53519585.760000005</v>
      </c>
      <c r="N14" s="37" t="s">
        <v>24</v>
      </c>
      <c r="W14" s="35"/>
      <c r="X14" s="48" t="s">
        <v>24</v>
      </c>
      <c r="Y14" s="51">
        <f>SUM(N13:Y13)</f>
        <v>208326619.56</v>
      </c>
      <c r="AJ14" s="50" t="s">
        <v>24</v>
      </c>
      <c r="AK14" s="54">
        <f>SUM(Z13:AK13)</f>
        <v>799902886.20179987</v>
      </c>
    </row>
    <row r="15" spans="1:37" ht="42" x14ac:dyDescent="0.35">
      <c r="A15" t="s">
        <v>25</v>
      </c>
      <c r="B15" s="6"/>
      <c r="D15" s="4"/>
      <c r="H15" s="4">
        <f>SUM(B10:J10)</f>
        <v>125068852.08000001</v>
      </c>
      <c r="K15" t="s">
        <v>86</v>
      </c>
      <c r="L15" s="43">
        <f>L14*L11</f>
        <v>16121761.584286185</v>
      </c>
      <c r="M15" s="41">
        <f>M14*0.05</f>
        <v>-2675979.2880000006</v>
      </c>
      <c r="N15" s="36" t="s">
        <v>89</v>
      </c>
      <c r="X15" s="20" t="s">
        <v>89</v>
      </c>
      <c r="Y15" s="52">
        <f>Y14*0.05</f>
        <v>10416330.978</v>
      </c>
      <c r="AJ15" s="49" t="s">
        <v>89</v>
      </c>
      <c r="AK15" s="52">
        <f t="shared" ref="AK15" si="77">AK14*0.05</f>
        <v>39995144.310089998</v>
      </c>
    </row>
    <row r="16" spans="1:37" ht="56" x14ac:dyDescent="0.35">
      <c r="A16" t="s">
        <v>26</v>
      </c>
      <c r="D16" s="4"/>
      <c r="K16" t="s">
        <v>87</v>
      </c>
      <c r="L16" s="45">
        <f>L14*B3+B2</f>
        <v>16121761.584286185</v>
      </c>
      <c r="M16" s="42">
        <f>M14*0.03</f>
        <v>-1605587.5728000002</v>
      </c>
      <c r="N16" s="36" t="s">
        <v>90</v>
      </c>
      <c r="X16" s="20" t="s">
        <v>90</v>
      </c>
      <c r="Y16" s="52">
        <f t="shared" ref="Y16:AK16" si="78">Y14*0.03</f>
        <v>6249798.5867999997</v>
      </c>
      <c r="AJ16" s="49" t="s">
        <v>90</v>
      </c>
      <c r="AK16" s="52">
        <f t="shared" si="78"/>
        <v>23997086.586053994</v>
      </c>
    </row>
    <row r="17" spans="1:38" ht="28" x14ac:dyDescent="0.35">
      <c r="A17" t="s">
        <v>27</v>
      </c>
      <c r="K17" s="22"/>
      <c r="L17" s="34"/>
      <c r="M17" s="41">
        <f>M14-M15-M16</f>
        <v>-49238018.8992</v>
      </c>
      <c r="N17" s="36" t="s">
        <v>27</v>
      </c>
      <c r="X17" s="20" t="s">
        <v>27</v>
      </c>
      <c r="Y17" s="52">
        <f>Y14-Y15-Y16</f>
        <v>191660489.99520001</v>
      </c>
      <c r="AJ17" s="49" t="s">
        <v>27</v>
      </c>
      <c r="AK17" s="52">
        <f t="shared" ref="AK17" si="79">AK14-AK15-AK16</f>
        <v>735910655.30565596</v>
      </c>
    </row>
    <row r="18" spans="1:38" ht="28" x14ac:dyDescent="0.35">
      <c r="A18" t="s">
        <v>28</v>
      </c>
      <c r="C18" s="4"/>
      <c r="J18" s="22"/>
      <c r="K18" s="22"/>
      <c r="L18" s="34"/>
      <c r="M18" s="41">
        <f>M17*0.35</f>
        <v>-17233306.614719998</v>
      </c>
      <c r="N18" s="36" t="s">
        <v>28</v>
      </c>
      <c r="X18" s="20" t="s">
        <v>28</v>
      </c>
      <c r="Y18" s="52">
        <f>Y17*0.35</f>
        <v>67081171.498319998</v>
      </c>
      <c r="AJ18" s="49" t="s">
        <v>28</v>
      </c>
      <c r="AK18" s="52">
        <f t="shared" ref="AK18" si="80">AK17*0.35</f>
        <v>257568729.35697958</v>
      </c>
    </row>
    <row r="19" spans="1:38" ht="16" thickBot="1" x14ac:dyDescent="0.4">
      <c r="A19" t="s">
        <v>29</v>
      </c>
      <c r="K19" s="22"/>
      <c r="L19" s="34"/>
      <c r="M19" s="41">
        <f>M17-M18</f>
        <v>-32004712.284480002</v>
      </c>
      <c r="N19" s="36" t="s">
        <v>88</v>
      </c>
      <c r="W19" s="46"/>
      <c r="X19" s="47" t="s">
        <v>88</v>
      </c>
      <c r="Y19" s="53">
        <f t="shared" ref="Y19" si="81">Y17-Y18</f>
        <v>124579318.49688001</v>
      </c>
      <c r="AJ19" s="47" t="s">
        <v>88</v>
      </c>
      <c r="AK19" s="53">
        <f t="shared" ref="AK19" si="82">AK17-AK18</f>
        <v>478341925.94867635</v>
      </c>
      <c r="AL19" s="21">
        <f>AK19/AK14</f>
        <v>0.59800000000000009</v>
      </c>
    </row>
    <row r="20" spans="1:38" ht="16" thickBot="1" x14ac:dyDescent="0.4">
      <c r="K20" s="22"/>
      <c r="L20" s="22"/>
      <c r="M20" s="38"/>
      <c r="N20" s="39"/>
      <c r="Y20" s="4"/>
    </row>
    <row r="21" spans="1:38" x14ac:dyDescent="0.35">
      <c r="Y21" s="4"/>
    </row>
    <row r="22" spans="1:38" x14ac:dyDescent="0.35">
      <c r="Y22" s="4"/>
    </row>
  </sheetData>
  <pageMargins left="0.7" right="0.7" top="0.75" bottom="0.75" header="0.3" footer="0.3"/>
  <ignoredErrors>
    <ignoredError sqref="A1:AL1 A17:K17 A15 A4:AL5 A2 E2:AL2 A3 E3:AL3 A19:K19 A18:B18 D18:K18 A7:AL8 A6:C6 E6:AL6 A14:B14 A9 AL9 A10 AL10 A11 AL11 A12 AL12 A13 AL13 F14:I14 F15:G15 A16:B16 F16:I16 AL14 AL15 AL16 AL17 AL18 I1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6"/>
  <sheetViews>
    <sheetView zoomScaleNormal="100" workbookViewId="0">
      <selection activeCell="D28" sqref="D28"/>
    </sheetView>
  </sheetViews>
  <sheetFormatPr baseColWidth="10" defaultRowHeight="15.5" x14ac:dyDescent="0.35"/>
  <cols>
    <col min="1" max="1" width="22.83203125" customWidth="1"/>
    <col min="2" max="2" width="42.83203125" customWidth="1"/>
    <col min="3" max="4" width="22.83203125" customWidth="1"/>
    <col min="5" max="5" width="23.75" customWidth="1"/>
    <col min="6" max="6" width="55.83203125" customWidth="1"/>
    <col min="9" max="9" width="35.9140625" customWidth="1"/>
    <col min="10" max="10" width="11.33203125" bestFit="1" customWidth="1"/>
  </cols>
  <sheetData>
    <row r="2" spans="2:6" ht="17" x14ac:dyDescent="0.4">
      <c r="B2" s="12" t="s">
        <v>30</v>
      </c>
    </row>
    <row r="3" spans="2:6" ht="16" thickBot="1" x14ac:dyDescent="0.4">
      <c r="B3" s="7"/>
      <c r="C3" s="1" t="s">
        <v>31</v>
      </c>
      <c r="D3" s="2" t="s">
        <v>32</v>
      </c>
      <c r="E3" s="3" t="s">
        <v>33</v>
      </c>
      <c r="F3" t="s">
        <v>34</v>
      </c>
    </row>
    <row r="4" spans="2:6" ht="16" thickBot="1" x14ac:dyDescent="0.4">
      <c r="C4" s="1"/>
      <c r="D4" s="2"/>
      <c r="E4" s="3"/>
    </row>
    <row r="5" spans="2:6" ht="16" thickBot="1" x14ac:dyDescent="0.4">
      <c r="B5" s="9" t="s">
        <v>35</v>
      </c>
      <c r="C5" s="10">
        <f>SUM(C7:C12)</f>
        <v>11845685.120000001</v>
      </c>
      <c r="D5" s="10">
        <f>SUM(D7:D12)</f>
        <v>16343895.655000001</v>
      </c>
      <c r="E5" s="11">
        <f>SUM(E7:E12)</f>
        <v>22598557.851100001</v>
      </c>
    </row>
    <row r="7" spans="2:6" x14ac:dyDescent="0.35">
      <c r="B7" t="s">
        <v>59</v>
      </c>
      <c r="C7" s="4">
        <v>5500000</v>
      </c>
      <c r="D7" s="4">
        <f>C7*1.08</f>
        <v>5940000</v>
      </c>
      <c r="E7" s="4">
        <f>D7*1.08</f>
        <v>6415200</v>
      </c>
      <c r="F7" t="s">
        <v>36</v>
      </c>
    </row>
    <row r="8" spans="2:6" x14ac:dyDescent="0.35">
      <c r="B8" t="s">
        <v>60</v>
      </c>
      <c r="C8" s="4">
        <v>3135524</v>
      </c>
      <c r="D8" s="4">
        <f>C8*1.08</f>
        <v>3386365.9200000004</v>
      </c>
      <c r="E8" s="4">
        <f>D8*1.08</f>
        <v>3657275.1936000008</v>
      </c>
      <c r="F8" t="s">
        <v>36</v>
      </c>
    </row>
    <row r="9" spans="2:6" x14ac:dyDescent="0.35">
      <c r="B9" s="24" t="s">
        <v>62</v>
      </c>
      <c r="C9" s="4">
        <f>1000000+C23+C24</f>
        <v>1114737.23</v>
      </c>
      <c r="D9" s="8">
        <f>C9*1.5</f>
        <v>1672105.845</v>
      </c>
      <c r="E9">
        <f>D9*1.5</f>
        <v>2508158.7675000001</v>
      </c>
      <c r="F9" t="s">
        <v>61</v>
      </c>
    </row>
    <row r="10" spans="2:6" x14ac:dyDescent="0.35">
      <c r="B10" t="s">
        <v>64</v>
      </c>
      <c r="C10" s="4">
        <v>91756.89</v>
      </c>
      <c r="D10" s="4">
        <f>C10</f>
        <v>91756.89</v>
      </c>
      <c r="E10" s="4">
        <f>D10</f>
        <v>91756.89</v>
      </c>
    </row>
    <row r="11" spans="2:6" x14ac:dyDescent="0.35">
      <c r="B11" t="s">
        <v>65</v>
      </c>
      <c r="C11" s="4">
        <v>3667</v>
      </c>
      <c r="D11" s="4">
        <f>C11</f>
        <v>3667</v>
      </c>
      <c r="E11" s="4">
        <f>D11</f>
        <v>3667</v>
      </c>
    </row>
    <row r="12" spans="2:6" x14ac:dyDescent="0.35">
      <c r="B12" t="s">
        <v>71</v>
      </c>
      <c r="C12" s="4">
        <v>2000000</v>
      </c>
      <c r="D12" s="4">
        <f>D13*5</f>
        <v>5250000</v>
      </c>
      <c r="E12" s="4">
        <f>E13*9</f>
        <v>9922500</v>
      </c>
      <c r="F12" s="4"/>
    </row>
    <row r="13" spans="2:6" x14ac:dyDescent="0.35">
      <c r="B13" t="s">
        <v>72</v>
      </c>
      <c r="C13" s="4">
        <f>C12/2</f>
        <v>1000000</v>
      </c>
      <c r="D13" s="4">
        <f>C13*1.05</f>
        <v>1050000</v>
      </c>
      <c r="E13" s="4">
        <f>D13*1.05</f>
        <v>1102500</v>
      </c>
      <c r="F13" s="4" t="s">
        <v>73</v>
      </c>
    </row>
    <row r="14" spans="2:6" ht="16" thickBot="1" x14ac:dyDescent="0.4">
      <c r="C14" s="4"/>
      <c r="D14" s="4"/>
      <c r="E14" s="4"/>
    </row>
    <row r="15" spans="2:6" ht="16" thickBot="1" x14ac:dyDescent="0.4">
      <c r="B15" s="29" t="s">
        <v>95</v>
      </c>
      <c r="C15" s="30"/>
      <c r="D15" s="10"/>
      <c r="E15" s="11"/>
    </row>
    <row r="16" spans="2:6" x14ac:dyDescent="0.35">
      <c r="B16" s="28" t="s">
        <v>63</v>
      </c>
      <c r="C16" s="31">
        <v>184215.33</v>
      </c>
      <c r="D16" s="23"/>
      <c r="E16" s="23"/>
    </row>
    <row r="17" spans="1:10" x14ac:dyDescent="0.35">
      <c r="B17" s="28" t="s">
        <v>68</v>
      </c>
      <c r="C17" s="31">
        <v>2118.48</v>
      </c>
      <c r="D17" s="23"/>
      <c r="E17" s="23"/>
    </row>
    <row r="18" spans="1:10" x14ac:dyDescent="0.35">
      <c r="B18" s="28" t="s">
        <v>69</v>
      </c>
      <c r="C18" s="31">
        <v>331.59</v>
      </c>
      <c r="D18" s="23"/>
      <c r="E18" s="23"/>
    </row>
    <row r="19" spans="1:10" x14ac:dyDescent="0.35">
      <c r="B19" s="28" t="s">
        <v>92</v>
      </c>
      <c r="C19" s="31">
        <f>500*36.84</f>
        <v>18420</v>
      </c>
      <c r="D19" s="23"/>
      <c r="E19" s="23"/>
    </row>
    <row r="20" spans="1:10" x14ac:dyDescent="0.35">
      <c r="B20" s="22"/>
      <c r="C20" s="23"/>
      <c r="D20" s="23"/>
      <c r="E20" s="23"/>
    </row>
    <row r="21" spans="1:10" ht="16" thickBot="1" x14ac:dyDescent="0.4">
      <c r="B21" s="25" t="s">
        <v>94</v>
      </c>
      <c r="C21" s="26"/>
      <c r="D21" s="23"/>
      <c r="E21" s="23"/>
    </row>
    <row r="22" spans="1:10" x14ac:dyDescent="0.35">
      <c r="B22" s="24"/>
      <c r="C22" s="27"/>
      <c r="D22" s="4"/>
      <c r="E22" s="4"/>
      <c r="I22" t="s">
        <v>68</v>
      </c>
      <c r="J22" t="s">
        <v>91</v>
      </c>
    </row>
    <row r="23" spans="1:10" x14ac:dyDescent="0.35">
      <c r="B23" s="24" t="s">
        <v>66</v>
      </c>
      <c r="C23" s="27">
        <v>100000</v>
      </c>
      <c r="D23" s="4"/>
      <c r="E23" s="4"/>
      <c r="J23" s="4">
        <v>2118.48</v>
      </c>
    </row>
    <row r="24" spans="1:10" x14ac:dyDescent="0.35">
      <c r="B24" s="24" t="s">
        <v>67</v>
      </c>
      <c r="C24" s="27">
        <v>14737.23</v>
      </c>
      <c r="D24" s="4"/>
      <c r="E24" s="4"/>
    </row>
    <row r="25" spans="1:10" x14ac:dyDescent="0.35">
      <c r="C25" s="4"/>
      <c r="D25" s="4"/>
      <c r="E25" s="4"/>
      <c r="I25" t="s">
        <v>69</v>
      </c>
      <c r="J25" s="4">
        <v>331.59</v>
      </c>
    </row>
    <row r="26" spans="1:10" ht="16" thickBot="1" x14ac:dyDescent="0.4">
      <c r="B26" s="7"/>
      <c r="C26" s="7"/>
      <c r="D26" s="7"/>
      <c r="E26" s="7"/>
    </row>
    <row r="27" spans="1:10" x14ac:dyDescent="0.35">
      <c r="I27" t="s">
        <v>92</v>
      </c>
      <c r="J27" t="s">
        <v>93</v>
      </c>
    </row>
    <row r="28" spans="1:10" x14ac:dyDescent="0.35">
      <c r="B28" s="28" t="s">
        <v>37</v>
      </c>
      <c r="C28" s="4">
        <f>C19+C18+C17+C16</f>
        <v>205085.4</v>
      </c>
      <c r="D28" s="4">
        <f>C28*1.05</f>
        <v>215339.67</v>
      </c>
      <c r="E28" s="4">
        <f>D28*1.05</f>
        <v>226106.65350000001</v>
      </c>
      <c r="J28" s="4">
        <f>500*36.84</f>
        <v>18420</v>
      </c>
    </row>
    <row r="29" spans="1:10" x14ac:dyDescent="0.35">
      <c r="B29" t="s">
        <v>74</v>
      </c>
      <c r="C29" s="4">
        <f>C28*C36</f>
        <v>4922049.5999999996</v>
      </c>
      <c r="D29" s="4">
        <f>D28*D36</f>
        <v>18088532.280000001</v>
      </c>
      <c r="E29" s="4">
        <f>E28*E36</f>
        <v>43412477.472000003</v>
      </c>
      <c r="F29" t="s">
        <v>78</v>
      </c>
    </row>
    <row r="30" spans="1:10" ht="16" thickBot="1" x14ac:dyDescent="0.4">
      <c r="A30" s="7"/>
      <c r="B30" t="s">
        <v>75</v>
      </c>
      <c r="C30" s="4">
        <f>SUM(C29,C5)</f>
        <v>16767734.720000001</v>
      </c>
      <c r="D30" s="4">
        <f>SUM(D29,D5)</f>
        <v>34432427.935000002</v>
      </c>
      <c r="E30" s="4">
        <f>SUM(E29,E5)</f>
        <v>66011035.323100001</v>
      </c>
      <c r="F30" t="s">
        <v>79</v>
      </c>
      <c r="J30" s="4"/>
    </row>
    <row r="31" spans="1:10" ht="16" thickBot="1" x14ac:dyDescent="0.4">
      <c r="B31" s="7"/>
      <c r="C31" s="7"/>
      <c r="D31" s="7"/>
      <c r="E31" s="7"/>
    </row>
    <row r="32" spans="1:10" ht="16" thickBot="1" x14ac:dyDescent="0.4">
      <c r="F32" s="7"/>
    </row>
    <row r="33" spans="1:8" ht="17" x14ac:dyDescent="0.4">
      <c r="B33" s="12" t="s">
        <v>38</v>
      </c>
    </row>
    <row r="34" spans="1:8" ht="17" x14ac:dyDescent="0.4">
      <c r="B34" s="13"/>
      <c r="F34" t="s">
        <v>76</v>
      </c>
      <c r="G34">
        <f>500*50</f>
        <v>25000</v>
      </c>
      <c r="H34" t="s">
        <v>77</v>
      </c>
    </row>
    <row r="35" spans="1:8" ht="16" thickBot="1" x14ac:dyDescent="0.4">
      <c r="A35" s="7"/>
      <c r="C35" s="1" t="s">
        <v>31</v>
      </c>
      <c r="D35" s="2" t="s">
        <v>32</v>
      </c>
      <c r="E35" s="3" t="s">
        <v>33</v>
      </c>
    </row>
    <row r="36" spans="1:8" x14ac:dyDescent="0.35">
      <c r="B36" t="s">
        <v>40</v>
      </c>
      <c r="C36">
        <v>24</v>
      </c>
      <c r="D36">
        <v>84</v>
      </c>
      <c r="E36">
        <v>192</v>
      </c>
    </row>
    <row r="37" spans="1:8" ht="16" thickBot="1" x14ac:dyDescent="0.4">
      <c r="B37" t="s">
        <v>41</v>
      </c>
      <c r="C37" s="4">
        <f>C30/24</f>
        <v>698655.6133333334</v>
      </c>
      <c r="D37" s="4">
        <f>D30/84</f>
        <v>409909.85636904766</v>
      </c>
      <c r="E37" s="4">
        <f>E30/192</f>
        <v>343807.47564114584</v>
      </c>
      <c r="F37" s="7"/>
    </row>
    <row r="38" spans="1:8" x14ac:dyDescent="0.35">
      <c r="B38" t="s">
        <v>42</v>
      </c>
      <c r="C38" s="4">
        <f>C37*1.3</f>
        <v>908252.29733333341</v>
      </c>
      <c r="D38" s="4">
        <f t="shared" ref="D38:E40" si="0">C38*1.05</f>
        <v>953664.91220000014</v>
      </c>
      <c r="E38" s="4">
        <f t="shared" si="0"/>
        <v>1001348.1578100002</v>
      </c>
    </row>
    <row r="39" spans="1:8" x14ac:dyDescent="0.35">
      <c r="B39" t="s">
        <v>80</v>
      </c>
      <c r="C39" s="4">
        <v>2500000</v>
      </c>
      <c r="D39" s="4">
        <f t="shared" si="0"/>
        <v>2625000</v>
      </c>
      <c r="E39" s="4">
        <f t="shared" si="0"/>
        <v>2756250</v>
      </c>
    </row>
    <row r="40" spans="1:8" x14ac:dyDescent="0.35">
      <c r="B40" t="s">
        <v>44</v>
      </c>
      <c r="C40" s="4">
        <v>1200000</v>
      </c>
      <c r="D40" s="4">
        <f t="shared" si="0"/>
        <v>1260000</v>
      </c>
      <c r="E40" s="4">
        <f t="shared" si="0"/>
        <v>1323000</v>
      </c>
    </row>
    <row r="41" spans="1:8" x14ac:dyDescent="0.35">
      <c r="C41" s="4"/>
      <c r="D41" s="4"/>
      <c r="E41" s="4"/>
      <c r="F41" t="s">
        <v>39</v>
      </c>
    </row>
    <row r="42" spans="1:8" x14ac:dyDescent="0.35">
      <c r="B42" t="s">
        <v>45</v>
      </c>
      <c r="C42" s="4">
        <f>C38*C36</f>
        <v>21798055.136</v>
      </c>
      <c r="D42" s="4">
        <f>D38*D36</f>
        <v>80107852.624800012</v>
      </c>
      <c r="E42" s="4">
        <f>E38*E36</f>
        <v>192258846.29952005</v>
      </c>
    </row>
    <row r="43" spans="1:8" x14ac:dyDescent="0.35">
      <c r="A43" t="s">
        <v>43</v>
      </c>
      <c r="B43" t="s">
        <v>46</v>
      </c>
      <c r="C43" s="4">
        <f>C42-C30</f>
        <v>5030320.4159999993</v>
      </c>
      <c r="D43" s="4">
        <f>D42-D30</f>
        <v>45675424.689800009</v>
      </c>
      <c r="E43" s="4">
        <f>E42-E30</f>
        <v>126247810.97642004</v>
      </c>
    </row>
    <row r="44" spans="1:8" x14ac:dyDescent="0.35">
      <c r="B44" s="14"/>
      <c r="C44" s="15"/>
      <c r="D44" s="15"/>
      <c r="E44" s="15"/>
    </row>
    <row r="45" spans="1:8" x14ac:dyDescent="0.35">
      <c r="F45" t="s">
        <v>81</v>
      </c>
    </row>
    <row r="46" spans="1:8" ht="17" x14ac:dyDescent="0.4">
      <c r="B46" s="12" t="s">
        <v>47</v>
      </c>
    </row>
    <row r="47" spans="1:8" ht="17" x14ac:dyDescent="0.4">
      <c r="B47" s="13"/>
    </row>
    <row r="48" spans="1:8" x14ac:dyDescent="0.35">
      <c r="A48" s="14"/>
      <c r="B48" t="s">
        <v>48</v>
      </c>
      <c r="C48" s="4">
        <v>100000000</v>
      </c>
      <c r="E48" t="s">
        <v>84</v>
      </c>
    </row>
    <row r="49" spans="2:6" x14ac:dyDescent="0.35">
      <c r="B49" s="16" t="s">
        <v>49</v>
      </c>
      <c r="C49" s="4">
        <f>C50+C51+Proyecciones!H15</f>
        <v>144068852.08000001</v>
      </c>
      <c r="E49" t="s">
        <v>82</v>
      </c>
    </row>
    <row r="50" spans="2:6" x14ac:dyDescent="0.35">
      <c r="B50" s="3" t="s">
        <v>50</v>
      </c>
      <c r="C50" s="4">
        <f>F55+F56+F57</f>
        <v>17500000</v>
      </c>
      <c r="E50" t="s">
        <v>70</v>
      </c>
      <c r="F50" s="14"/>
    </row>
    <row r="51" spans="2:6" x14ac:dyDescent="0.35">
      <c r="B51" s="3" t="s">
        <v>51</v>
      </c>
      <c r="C51" s="4">
        <v>1500000</v>
      </c>
      <c r="E51" t="s">
        <v>83</v>
      </c>
    </row>
    <row r="52" spans="2:6" x14ac:dyDescent="0.35">
      <c r="B52" t="s">
        <v>52</v>
      </c>
      <c r="C52" s="4">
        <f>C49-C55</f>
        <v>24068852.080000013</v>
      </c>
    </row>
    <row r="53" spans="2:6" x14ac:dyDescent="0.35">
      <c r="B53" t="s">
        <v>53</v>
      </c>
      <c r="C53" s="4">
        <f>C54+C55</f>
        <v>220000000</v>
      </c>
      <c r="D53" s="21"/>
    </row>
    <row r="54" spans="2:6" x14ac:dyDescent="0.35">
      <c r="B54" t="s">
        <v>54</v>
      </c>
      <c r="C54" s="4">
        <f>C48</f>
        <v>100000000</v>
      </c>
      <c r="D54" s="21"/>
    </row>
    <row r="55" spans="2:6" x14ac:dyDescent="0.35">
      <c r="B55" t="s">
        <v>55</v>
      </c>
      <c r="C55" s="4">
        <v>120000000</v>
      </c>
      <c r="D55" s="17">
        <v>0.2</v>
      </c>
      <c r="F55" s="4">
        <v>4500000</v>
      </c>
    </row>
    <row r="56" spans="2:6" x14ac:dyDescent="0.35">
      <c r="B56" t="s">
        <v>56</v>
      </c>
      <c r="C56" s="4">
        <f>C55+C54</f>
        <v>220000000</v>
      </c>
      <c r="F56" s="4">
        <v>8000000</v>
      </c>
    </row>
    <row r="57" spans="2:6" x14ac:dyDescent="0.35">
      <c r="B57" t="s">
        <v>57</v>
      </c>
      <c r="C57" s="4">
        <f>SUM(Proyecciones!Z13:AK13)*5</f>
        <v>3999514431.0089993</v>
      </c>
      <c r="F57" s="4">
        <v>5000000</v>
      </c>
    </row>
    <row r="58" spans="2:6" x14ac:dyDescent="0.35">
      <c r="B58" t="s">
        <v>58</v>
      </c>
      <c r="C58" s="4">
        <f>C57*D55</f>
        <v>799902886.20179987</v>
      </c>
    </row>
    <row r="59" spans="2:6" x14ac:dyDescent="0.35">
      <c r="C59" s="4"/>
    </row>
    <row r="60" spans="2:6" x14ac:dyDescent="0.35">
      <c r="B60" s="14"/>
      <c r="C60" s="14"/>
      <c r="D60" s="14"/>
      <c r="E60" s="14"/>
    </row>
    <row r="66" spans="6:6" x14ac:dyDescent="0.35">
      <c r="F66" s="14"/>
    </row>
  </sheetData>
  <pageMargins left="0.7" right="0.7" top="0.75" bottom="0.75" header="0.3" footer="0.3"/>
  <pageSetup paperSize="9" orientation="portrait" horizontalDpi="0" verticalDpi="0" r:id="rId1"/>
  <ignoredErrors>
    <ignoredError sqref="A5:B5 A2:F2 A7:A8 F7:F8 A30 F5 B28 B31:E31 A3 C3:F3 B33:E33 C35:E35 B36:B38 B40 F46 B42:B43 F48:F49 B45:E46 F54 B48 D48:D51 B60:E60 D56:D57 D52:E52 E53:E54 B50:B58 A64 F66 F58:F64 A52:A62 A49:A50 F51:F52 A46:A47 A39:A44 F41:F43 A37 F39 F35:F37 A32:A3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Proyecciones</vt:lpstr>
      <vt:lpstr>Estimaciones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Elizabeth Gallardo</dc:creator>
  <cp:lastModifiedBy>Cecilia Elizabeth Gallardo</cp:lastModifiedBy>
  <dcterms:created xsi:type="dcterms:W3CDTF">2026-05-25T07:53:11Z</dcterms:created>
  <dcterms:modified xsi:type="dcterms:W3CDTF">2026-05-26T02:02:19Z</dcterms:modified>
</cp:coreProperties>
</file>